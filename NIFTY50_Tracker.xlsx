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ist" sheetId="1" state="visible" r:id="rId1"/>
    <sheet xmlns:r="http://schemas.openxmlformats.org/officeDocument/2006/relationships" name="19-Jun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006100"/>
      <sz val="11"/>
    </font>
    <font>
      <name val="Segoe UI"/>
      <b val="1"/>
      <color rgb="009C0006"/>
      <sz val="11"/>
    </font>
    <font>
      <name val="Segoe UI"/>
      <b val="1"/>
      <color rgb="00595959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ont>
        <name val="Segoe UI"/>
        <b val="1"/>
        <color rgb="00006100"/>
        <sz val="11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Segoe UI"/>
        <color rgb="00595959"/>
        <sz val="11"/>
      </font>
      <fill>
        <patternFill patternType="solid">
          <fgColor rgb="00EAEAEA"/>
          <bgColor rgb="00EA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Symbol</t>
        </is>
      </c>
      <c r="B1" s="1" t="inlineStr">
        <is>
          <t>Company Name</t>
        </is>
      </c>
    </row>
    <row r="2">
      <c r="A2" s="2" t="inlineStr">
        <is>
          <t>ADANIENT.NS</t>
        </is>
      </c>
      <c r="B2" s="2" t="inlineStr">
        <is>
          <t>Adani Enterprises Ltd.</t>
        </is>
      </c>
    </row>
    <row r="3">
      <c r="A3" s="3" t="inlineStr">
        <is>
          <t>ADANIPORTS.NS</t>
        </is>
      </c>
      <c r="B3" s="3" t="inlineStr">
        <is>
          <t>Adani Ports and Special Economic Zone Ltd.</t>
        </is>
      </c>
    </row>
    <row r="4">
      <c r="A4" s="2" t="inlineStr">
        <is>
          <t>APOLLOHOSP.NS</t>
        </is>
      </c>
      <c r="B4" s="2" t="inlineStr">
        <is>
          <t>Apollo Hospitals Enterprise Ltd.</t>
        </is>
      </c>
    </row>
    <row r="5">
      <c r="A5" s="3" t="inlineStr">
        <is>
          <t>ASIANPAINT.NS</t>
        </is>
      </c>
      <c r="B5" s="3" t="inlineStr">
        <is>
          <t>Asian Paints Ltd.</t>
        </is>
      </c>
    </row>
    <row r="6">
      <c r="A6" s="2" t="inlineStr">
        <is>
          <t>AXISBANK.NS</t>
        </is>
      </c>
      <c r="B6" s="2" t="inlineStr">
        <is>
          <t>Axis Bank Ltd.</t>
        </is>
      </c>
    </row>
    <row r="7">
      <c r="A7" s="3" t="inlineStr">
        <is>
          <t>BAJAJ-AUTO.NS</t>
        </is>
      </c>
      <c r="B7" s="3" t="inlineStr">
        <is>
          <t>Bajaj Auto Ltd.</t>
        </is>
      </c>
    </row>
    <row r="8">
      <c r="A8" s="2" t="inlineStr">
        <is>
          <t>BAJFINANCE.NS</t>
        </is>
      </c>
      <c r="B8" s="2" t="inlineStr">
        <is>
          <t>Bajaj Finance Ltd.</t>
        </is>
      </c>
    </row>
    <row r="9">
      <c r="A9" s="3" t="inlineStr">
        <is>
          <t>BAJAJFINSV.NS</t>
        </is>
      </c>
      <c r="B9" s="3" t="inlineStr">
        <is>
          <t>Bajaj Finserv Ltd.</t>
        </is>
      </c>
    </row>
    <row r="10">
      <c r="A10" s="2" t="inlineStr">
        <is>
          <t>BEL.NS</t>
        </is>
      </c>
      <c r="B10" s="2" t="inlineStr">
        <is>
          <t>Bharat Electronics Ltd.</t>
        </is>
      </c>
    </row>
    <row r="11">
      <c r="A11" s="3" t="inlineStr">
        <is>
          <t>BHARTIARTL.NS</t>
        </is>
      </c>
      <c r="B11" s="3" t="inlineStr">
        <is>
          <t>Bharti Airtel Ltd.</t>
        </is>
      </c>
    </row>
    <row r="12">
      <c r="A12" s="2" t="inlineStr">
        <is>
          <t>CIPLA.NS</t>
        </is>
      </c>
      <c r="B12" s="2" t="inlineStr">
        <is>
          <t>Cipla Ltd.</t>
        </is>
      </c>
    </row>
    <row r="13">
      <c r="A13" s="3" t="inlineStr">
        <is>
          <t>COALINDIA.NS</t>
        </is>
      </c>
      <c r="B13" s="3" t="inlineStr">
        <is>
          <t>Coal India Ltd.</t>
        </is>
      </c>
    </row>
    <row r="14">
      <c r="A14" s="2" t="inlineStr">
        <is>
          <t>DRREDDY.NS</t>
        </is>
      </c>
      <c r="B14" s="2" t="inlineStr">
        <is>
          <t>Dr. Reddy's Laboratories Ltd.</t>
        </is>
      </c>
    </row>
    <row r="15">
      <c r="A15" s="3" t="inlineStr">
        <is>
          <t>EICHERMOT.NS</t>
        </is>
      </c>
      <c r="B15" s="3" t="inlineStr">
        <is>
          <t>Eicher Motors Ltd.</t>
        </is>
      </c>
    </row>
    <row r="16">
      <c r="A16" s="2" t="inlineStr">
        <is>
          <t>ETERNAL.NS</t>
        </is>
      </c>
      <c r="B16" s="2" t="inlineStr">
        <is>
          <t>Eternal Ltd.</t>
        </is>
      </c>
    </row>
    <row r="17">
      <c r="A17" s="3" t="inlineStr">
        <is>
          <t>GRASIM.NS</t>
        </is>
      </c>
      <c r="B17" s="3" t="inlineStr">
        <is>
          <t>Grasim Industries Ltd.</t>
        </is>
      </c>
    </row>
    <row r="18">
      <c r="A18" s="2" t="inlineStr">
        <is>
          <t>HCLTECH.NS</t>
        </is>
      </c>
      <c r="B18" s="2" t="inlineStr">
        <is>
          <t>HCL Technologies Ltd.</t>
        </is>
      </c>
    </row>
    <row r="19">
      <c r="A19" s="3" t="inlineStr">
        <is>
          <t>HDFCBANK.NS</t>
        </is>
      </c>
      <c r="B19" s="3" t="inlineStr">
        <is>
          <t>HDFC Bank Ltd.</t>
        </is>
      </c>
    </row>
    <row r="20">
      <c r="A20" s="2" t="inlineStr">
        <is>
          <t>HDFCLIFE.NS</t>
        </is>
      </c>
      <c r="B20" s="2" t="inlineStr">
        <is>
          <t>HDFC Life Insurance Company Ltd.</t>
        </is>
      </c>
    </row>
    <row r="21">
      <c r="A21" s="3" t="inlineStr">
        <is>
          <t>HINDALCO.NS</t>
        </is>
      </c>
      <c r="B21" s="3" t="inlineStr">
        <is>
          <t>Hindalco Industries Ltd.</t>
        </is>
      </c>
    </row>
    <row r="22">
      <c r="A22" s="2" t="inlineStr">
        <is>
          <t>HINDUNILVR.NS</t>
        </is>
      </c>
      <c r="B22" s="2" t="inlineStr">
        <is>
          <t>Hindustan Unilever Ltd.</t>
        </is>
      </c>
    </row>
    <row r="23">
      <c r="A23" s="3" t="inlineStr">
        <is>
          <t>ICICIBANK.NS</t>
        </is>
      </c>
      <c r="B23" s="3" t="inlineStr">
        <is>
          <t>ICICI Bank Ltd.</t>
        </is>
      </c>
    </row>
    <row r="24">
      <c r="A24" s="2" t="inlineStr">
        <is>
          <t>ITC.NS</t>
        </is>
      </c>
      <c r="B24" s="2" t="inlineStr">
        <is>
          <t>ITC Ltd.</t>
        </is>
      </c>
    </row>
    <row r="25">
      <c r="A25" s="3" t="inlineStr">
        <is>
          <t>INFY.NS</t>
        </is>
      </c>
      <c r="B25" s="3" t="inlineStr">
        <is>
          <t>Infosys Ltd.</t>
        </is>
      </c>
    </row>
    <row r="26">
      <c r="A26" s="2" t="inlineStr">
        <is>
          <t>INDIGO.NS</t>
        </is>
      </c>
      <c r="B26" s="2" t="inlineStr">
        <is>
          <t>InterGlobe Aviation Ltd.</t>
        </is>
      </c>
    </row>
    <row r="27">
      <c r="A27" s="3" t="inlineStr">
        <is>
          <t>JSWSTEEL.NS</t>
        </is>
      </c>
      <c r="B27" s="3" t="inlineStr">
        <is>
          <t>JSW Steel Ltd.</t>
        </is>
      </c>
    </row>
    <row r="28">
      <c r="A28" s="2" t="inlineStr">
        <is>
          <t>JIOFIN.NS</t>
        </is>
      </c>
      <c r="B28" s="2" t="inlineStr">
        <is>
          <t>Jio Financial Services Ltd.</t>
        </is>
      </c>
    </row>
    <row r="29">
      <c r="A29" s="3" t="inlineStr">
        <is>
          <t>KOTAKBANK.NS</t>
        </is>
      </c>
      <c r="B29" s="3" t="inlineStr">
        <is>
          <t>Kotak Mahindra Bank Ltd.</t>
        </is>
      </c>
    </row>
    <row r="30">
      <c r="A30" s="2" t="inlineStr">
        <is>
          <t>LT.NS</t>
        </is>
      </c>
      <c r="B30" s="2" t="inlineStr">
        <is>
          <t>Larsen &amp; Toubro Ltd.</t>
        </is>
      </c>
    </row>
    <row r="31">
      <c r="A31" s="3" t="inlineStr">
        <is>
          <t>M&amp;M.NS</t>
        </is>
      </c>
      <c r="B31" s="3" t="inlineStr">
        <is>
          <t>Mahindra &amp; Mahindra Ltd.</t>
        </is>
      </c>
    </row>
    <row r="32">
      <c r="A32" s="2" t="inlineStr">
        <is>
          <t>MARUTI.NS</t>
        </is>
      </c>
      <c r="B32" s="2" t="inlineStr">
        <is>
          <t>Maruti Suzuki India Ltd.</t>
        </is>
      </c>
    </row>
    <row r="33">
      <c r="A33" s="3" t="inlineStr">
        <is>
          <t>MAXHEALTH.NS</t>
        </is>
      </c>
      <c r="B33" s="3" t="inlineStr">
        <is>
          <t>Max Healthcare Institute Ltd.</t>
        </is>
      </c>
    </row>
    <row r="34">
      <c r="A34" s="2" t="inlineStr">
        <is>
          <t>NTPC.NS</t>
        </is>
      </c>
      <c r="B34" s="2" t="inlineStr">
        <is>
          <t>NTPC Ltd.</t>
        </is>
      </c>
    </row>
    <row r="35">
      <c r="A35" s="3" t="inlineStr">
        <is>
          <t>NESTLEIND.NS</t>
        </is>
      </c>
      <c r="B35" s="3" t="inlineStr">
        <is>
          <t>Nestle India Ltd.</t>
        </is>
      </c>
    </row>
    <row r="36">
      <c r="A36" s="2" t="inlineStr">
        <is>
          <t>ONGC.NS</t>
        </is>
      </c>
      <c r="B36" s="2" t="inlineStr">
        <is>
          <t>Oil &amp; Natural Gas Corporation Ltd.</t>
        </is>
      </c>
    </row>
    <row r="37">
      <c r="A37" s="3" t="inlineStr">
        <is>
          <t>POWERGRID.NS</t>
        </is>
      </c>
      <c r="B37" s="3" t="inlineStr">
        <is>
          <t>Power Grid Corporation of India Ltd.</t>
        </is>
      </c>
    </row>
    <row r="38">
      <c r="A38" s="2" t="inlineStr">
        <is>
          <t>RELIANCE.NS</t>
        </is>
      </c>
      <c r="B38" s="2" t="inlineStr">
        <is>
          <t>Reliance Industries Ltd.</t>
        </is>
      </c>
    </row>
    <row r="39">
      <c r="A39" s="3" t="inlineStr">
        <is>
          <t>SBILIFE.NS</t>
        </is>
      </c>
      <c r="B39" s="3" t="inlineStr">
        <is>
          <t>SBI Life Insurance Company Ltd.</t>
        </is>
      </c>
    </row>
    <row r="40">
      <c r="A40" s="2" t="inlineStr">
        <is>
          <t>SHRIRAMFIN.NS</t>
        </is>
      </c>
      <c r="B40" s="2" t="inlineStr">
        <is>
          <t>Shriram Finance Ltd.</t>
        </is>
      </c>
    </row>
    <row r="41">
      <c r="A41" s="3" t="inlineStr">
        <is>
          <t>SBIN.NS</t>
        </is>
      </c>
      <c r="B41" s="3" t="inlineStr">
        <is>
          <t>State Bank of India</t>
        </is>
      </c>
    </row>
    <row r="42">
      <c r="A42" s="2" t="inlineStr">
        <is>
          <t>SUNPHARMA.NS</t>
        </is>
      </c>
      <c r="B42" s="2" t="inlineStr">
        <is>
          <t>Sun Pharmaceutical Industries Ltd.</t>
        </is>
      </c>
    </row>
    <row r="43">
      <c r="A43" s="3" t="inlineStr">
        <is>
          <t>TCS.NS</t>
        </is>
      </c>
      <c r="B43" s="3" t="inlineStr">
        <is>
          <t>Tata Consultancy Services Ltd.</t>
        </is>
      </c>
    </row>
    <row r="44">
      <c r="A44" s="2" t="inlineStr">
        <is>
          <t>TATACONSUM.NS</t>
        </is>
      </c>
      <c r="B44" s="2" t="inlineStr">
        <is>
          <t>Tata Consumer Products Ltd.</t>
        </is>
      </c>
    </row>
    <row r="45">
      <c r="A45" s="3" t="inlineStr">
        <is>
          <t>TMPV.NS</t>
        </is>
      </c>
      <c r="B45" s="3" t="inlineStr">
        <is>
          <t>Tata Motors Passenger Vehicles Ltd.</t>
        </is>
      </c>
    </row>
    <row r="46">
      <c r="A46" s="2" t="inlineStr">
        <is>
          <t>TATASTEEL.NS</t>
        </is>
      </c>
      <c r="B46" s="2" t="inlineStr">
        <is>
          <t>Tata Steel Ltd.</t>
        </is>
      </c>
    </row>
    <row r="47">
      <c r="A47" s="3" t="inlineStr">
        <is>
          <t>TECHM.NS</t>
        </is>
      </c>
      <c r="B47" s="3" t="inlineStr">
        <is>
          <t>Tech Mahindra Ltd.</t>
        </is>
      </c>
    </row>
    <row r="48">
      <c r="A48" s="2" t="inlineStr">
        <is>
          <t>TITAN.NS</t>
        </is>
      </c>
      <c r="B48" s="2" t="inlineStr">
        <is>
          <t>Titan Company Ltd.</t>
        </is>
      </c>
    </row>
    <row r="49">
      <c r="A49" s="3" t="inlineStr">
        <is>
          <t>TRENT.NS</t>
        </is>
      </c>
      <c r="B49" s="3" t="inlineStr">
        <is>
          <t>Trent Ltd.</t>
        </is>
      </c>
    </row>
    <row r="50">
      <c r="A50" s="2" t="inlineStr">
        <is>
          <t>ULTRACEMCO.NS</t>
        </is>
      </c>
      <c r="B50" s="2" t="inlineStr">
        <is>
          <t>UltraTech Cement Ltd.</t>
        </is>
      </c>
    </row>
    <row r="51">
      <c r="A51" s="3" t="inlineStr">
        <is>
          <t>WIPRO.NS</t>
        </is>
      </c>
      <c r="B51" s="3" t="inlineStr">
        <is>
          <t>Wipro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4" t="inlineStr">
        <is>
          <t>Symbol</t>
        </is>
      </c>
      <c r="B1" s="4" t="inlineStr">
        <is>
          <t>Company Name</t>
        </is>
      </c>
      <c r="C1" s="4" t="inlineStr">
        <is>
          <t>09:15</t>
        </is>
      </c>
      <c r="D1" s="4" t="inlineStr">
        <is>
          <t>09:45</t>
        </is>
      </c>
      <c r="E1" s="4" t="inlineStr">
        <is>
          <t>10:15</t>
        </is>
      </c>
      <c r="F1" s="4" t="inlineStr">
        <is>
          <t>10:45</t>
        </is>
      </c>
      <c r="G1" s="4" t="inlineStr">
        <is>
          <t>11:15</t>
        </is>
      </c>
      <c r="H1" s="4" t="inlineStr">
        <is>
          <t>11:45</t>
        </is>
      </c>
      <c r="I1" s="4" t="inlineStr">
        <is>
          <t>12:15</t>
        </is>
      </c>
      <c r="J1" s="4" t="inlineStr">
        <is>
          <t>12:45</t>
        </is>
      </c>
      <c r="K1" s="4" t="inlineStr">
        <is>
          <t>13:15</t>
        </is>
      </c>
      <c r="L1" s="4" t="inlineStr">
        <is>
          <t>13:45</t>
        </is>
      </c>
      <c r="M1" s="4" t="inlineStr">
        <is>
          <t>14:15</t>
        </is>
      </c>
      <c r="N1" s="4" t="inlineStr">
        <is>
          <t>14:45</t>
        </is>
      </c>
      <c r="O1" s="4" t="inlineStr">
        <is>
          <t>15:15</t>
        </is>
      </c>
      <c r="P1" s="4" t="inlineStr">
        <is>
          <t>15:30</t>
        </is>
      </c>
      <c r="Q1" s="4" t="inlineStr">
        <is>
          <t>Verdict</t>
        </is>
      </c>
    </row>
    <row r="2">
      <c r="A2" s="5" t="inlineStr">
        <is>
          <t>ADANIENT.NS</t>
        </is>
      </c>
      <c r="B2" s="5" t="inlineStr">
        <is>
          <t>Adani Enterprises Ltd.</t>
        </is>
      </c>
      <c r="C2" s="6" t="n">
        <v>3027.89990234375</v>
      </c>
      <c r="D2" s="6" t="n">
        <v>3038</v>
      </c>
      <c r="E2" s="6" t="n">
        <v>3038.199951171875</v>
      </c>
      <c r="F2" s="6" t="n">
        <v>3033.300048828125</v>
      </c>
      <c r="G2" s="6" t="n">
        <v>3038.5</v>
      </c>
      <c r="H2" s="6" t="n">
        <v>3022.800048828125</v>
      </c>
      <c r="I2" s="6" t="n">
        <v>3034.39990234375</v>
      </c>
      <c r="J2" s="6" t="n">
        <v>3026</v>
      </c>
      <c r="K2" s="6" t="n">
        <v>3024</v>
      </c>
      <c r="L2" s="6" t="n">
        <v>3026.800048828125</v>
      </c>
      <c r="M2" s="6" t="n">
        <v>3027.10009765625</v>
      </c>
      <c r="N2" s="6" t="n">
        <v>3032.199951171875</v>
      </c>
      <c r="O2" s="6" t="n">
        <v>3037.39990234375</v>
      </c>
      <c r="P2" s="6" t="n">
        <v>3031.10009765625</v>
      </c>
      <c r="Q2" s="7">
        <f>IF(OR(AND(D2&lt;&gt;"",D2&lt;C2), AND(E2&lt;&gt;"",E2&lt;D2), AND(F2&lt;&gt;"",F2&lt;E2), AND(G2&lt;&gt;"",G2&lt;F2), AND(H2&lt;&gt;"",H2&lt;G2), AND(I2&lt;&gt;"",I2&lt;H2), AND(J2&lt;&gt;"",J2&lt;I2), AND(K2&lt;&gt;"",K2&lt;J2), AND(L2&lt;&gt;"",L2&lt;K2), AND(M2&lt;&gt;"",M2&lt;L2), AND(N2&lt;&gt;"",N2&lt;M2), AND(O2&lt;&gt;"",O2&lt;N2), AND(P2&lt;&gt;"",P2&lt;O2)), "Review", "Hold")</f>
        <v/>
      </c>
    </row>
    <row r="3">
      <c r="A3" s="8" t="inlineStr">
        <is>
          <t>ADANIPORTS.NS</t>
        </is>
      </c>
      <c r="B3" s="8" t="inlineStr">
        <is>
          <t>Adani Ports and Special Economic Zone Ltd.</t>
        </is>
      </c>
      <c r="C3" s="9" t="n">
        <v>1841.900024414062</v>
      </c>
      <c r="D3" s="9" t="n">
        <v>1835.400024414062</v>
      </c>
      <c r="E3" s="9" t="n">
        <v>1837.099975585938</v>
      </c>
      <c r="F3" s="9" t="n">
        <v>1834</v>
      </c>
      <c r="G3" s="9" t="n">
        <v>1842.599975585938</v>
      </c>
      <c r="H3" s="9" t="n">
        <v>1842.300048828125</v>
      </c>
      <c r="I3" s="9" t="n">
        <v>1842.599975585938</v>
      </c>
      <c r="J3" s="9" t="n">
        <v>1841.099975585938</v>
      </c>
      <c r="K3" s="9" t="n">
        <v>1839.599975585938</v>
      </c>
      <c r="L3" s="9" t="n">
        <v>1839.400024414062</v>
      </c>
      <c r="M3" s="9" t="n">
        <v>1839.300048828125</v>
      </c>
      <c r="N3" s="9" t="n">
        <v>1841.099975585938</v>
      </c>
      <c r="O3" s="9" t="n">
        <v>1833.400024414062</v>
      </c>
      <c r="P3" s="9" t="n">
        <v>1839</v>
      </c>
      <c r="Q3" s="10">
        <f>IF(OR(AND(D3&lt;&gt;"",D3&lt;C3), AND(E3&lt;&gt;"",E3&lt;D3), AND(F3&lt;&gt;"",F3&lt;E3), AND(G3&lt;&gt;"",G3&lt;F3), AND(H3&lt;&gt;"",H3&lt;G3), AND(I3&lt;&gt;"",I3&lt;H3), AND(J3&lt;&gt;"",J3&lt;I3), AND(K3&lt;&gt;"",K3&lt;J3), AND(L3&lt;&gt;"",L3&lt;K3), AND(M3&lt;&gt;"",M3&lt;L3), AND(N3&lt;&gt;"",N3&lt;M3), AND(O3&lt;&gt;"",O3&lt;N3), AND(P3&lt;&gt;"",P3&lt;O3)), "Review", "Hold")</f>
        <v/>
      </c>
    </row>
    <row r="4">
      <c r="A4" s="5" t="inlineStr">
        <is>
          <t>APOLLOHOSP.NS</t>
        </is>
      </c>
      <c r="B4" s="5" t="inlineStr">
        <is>
          <t>Apollo Hospitals Enterprise Ltd.</t>
        </is>
      </c>
      <c r="C4" s="6" t="n">
        <v>8403.5</v>
      </c>
      <c r="D4" s="6" t="n">
        <v>8469</v>
      </c>
      <c r="E4" s="6" t="n">
        <v>8465</v>
      </c>
      <c r="F4" s="6" t="n">
        <v>8444</v>
      </c>
      <c r="G4" s="6" t="n">
        <v>8449</v>
      </c>
      <c r="H4" s="6" t="n">
        <v>8432.5</v>
      </c>
      <c r="I4" s="6" t="n">
        <v>8440</v>
      </c>
      <c r="J4" s="6" t="n">
        <v>8425</v>
      </c>
      <c r="K4" s="6" t="n">
        <v>8428.5</v>
      </c>
      <c r="L4" s="6" t="n">
        <v>8442.5</v>
      </c>
      <c r="M4" s="6" t="n">
        <v>8448.5</v>
      </c>
      <c r="N4" s="6" t="n">
        <v>8443.5</v>
      </c>
      <c r="O4" s="6" t="n">
        <v>8494</v>
      </c>
      <c r="P4" s="6" t="n">
        <v>8508.5</v>
      </c>
      <c r="Q4" s="7">
        <f>IF(OR(AND(D4&lt;&gt;"",D4&lt;C4), AND(E4&lt;&gt;"",E4&lt;D4), AND(F4&lt;&gt;"",F4&lt;E4), AND(G4&lt;&gt;"",G4&lt;F4), AND(H4&lt;&gt;"",H4&lt;G4), AND(I4&lt;&gt;"",I4&lt;H4), AND(J4&lt;&gt;"",J4&lt;I4), AND(K4&lt;&gt;"",K4&lt;J4), AND(L4&lt;&gt;"",L4&lt;K4), AND(M4&lt;&gt;"",M4&lt;L4), AND(N4&lt;&gt;"",N4&lt;M4), AND(O4&lt;&gt;"",O4&lt;N4), AND(P4&lt;&gt;"",P4&lt;O4)), "Review", "Hold")</f>
        <v/>
      </c>
    </row>
    <row r="5">
      <c r="A5" s="8" t="inlineStr">
        <is>
          <t>ASIANPAINT.NS</t>
        </is>
      </c>
      <c r="B5" s="8" t="inlineStr">
        <is>
          <t>Asian Paints Ltd.</t>
        </is>
      </c>
      <c r="C5" s="9" t="n">
        <v>2743.89990234375</v>
      </c>
      <c r="D5" s="9" t="n">
        <v>2733.10009765625</v>
      </c>
      <c r="E5" s="9" t="n">
        <v>2741.699951171875</v>
      </c>
      <c r="F5" s="9" t="n">
        <v>2738.300048828125</v>
      </c>
      <c r="G5" s="9" t="n">
        <v>2734</v>
      </c>
      <c r="H5" s="9" t="n">
        <v>2734.199951171875</v>
      </c>
      <c r="I5" s="9" t="n">
        <v>2732.300048828125</v>
      </c>
      <c r="J5" s="9" t="n">
        <v>2725.10009765625</v>
      </c>
      <c r="K5" s="9" t="n">
        <v>2725.10009765625</v>
      </c>
      <c r="L5" s="9" t="n">
        <v>2728.10009765625</v>
      </c>
      <c r="M5" s="9" t="n">
        <v>2723.5</v>
      </c>
      <c r="N5" s="9" t="n">
        <v>2726.199951171875</v>
      </c>
      <c r="O5" s="9" t="n">
        <v>2730.39990234375</v>
      </c>
      <c r="P5" s="9" t="n">
        <v>2739</v>
      </c>
      <c r="Q5" s="10">
        <f>IF(OR(AND(D5&lt;&gt;"",D5&lt;C5), AND(E5&lt;&gt;"",E5&lt;D5), AND(F5&lt;&gt;"",F5&lt;E5), AND(G5&lt;&gt;"",G5&lt;F5), AND(H5&lt;&gt;"",H5&lt;G5), AND(I5&lt;&gt;"",I5&lt;H5), AND(J5&lt;&gt;"",J5&lt;I5), AND(K5&lt;&gt;"",K5&lt;J5), AND(L5&lt;&gt;"",L5&lt;K5), AND(M5&lt;&gt;"",M5&lt;L5), AND(N5&lt;&gt;"",N5&lt;M5), AND(O5&lt;&gt;"",O5&lt;N5), AND(P5&lt;&gt;"",P5&lt;O5)), "Review", "Hold")</f>
        <v/>
      </c>
    </row>
    <row r="6">
      <c r="A6" s="5" t="inlineStr">
        <is>
          <t>AXISBANK.NS</t>
        </is>
      </c>
      <c r="B6" s="5" t="inlineStr">
        <is>
          <t>Axis Bank Ltd.</t>
        </is>
      </c>
      <c r="C6" s="6" t="n">
        <v>1359</v>
      </c>
      <c r="D6" s="6" t="n">
        <v>1356.400024414062</v>
      </c>
      <c r="E6" s="6" t="n">
        <v>1354.099975585938</v>
      </c>
      <c r="F6" s="6" t="n">
        <v>1353.300048828125</v>
      </c>
      <c r="G6" s="6" t="n">
        <v>1353.300048828125</v>
      </c>
      <c r="H6" s="6" t="n">
        <v>1351.699951171875</v>
      </c>
      <c r="I6" s="6" t="n">
        <v>1350.900024414062</v>
      </c>
      <c r="J6" s="6" t="n">
        <v>1352.800048828125</v>
      </c>
      <c r="K6" s="6" t="n">
        <v>1355</v>
      </c>
      <c r="L6" s="6" t="n">
        <v>1354.800048828125</v>
      </c>
      <c r="M6" s="6" t="n">
        <v>1354.199951171875</v>
      </c>
      <c r="N6" s="6" t="n">
        <v>1357</v>
      </c>
      <c r="O6" s="6" t="n">
        <v>1358.5</v>
      </c>
      <c r="P6" s="6" t="n">
        <v>1359.900024414062</v>
      </c>
      <c r="Q6" s="7">
        <f>IF(OR(AND(D6&lt;&gt;"",D6&lt;C6), AND(E6&lt;&gt;"",E6&lt;D6), AND(F6&lt;&gt;"",F6&lt;E6), AND(G6&lt;&gt;"",G6&lt;F6), AND(H6&lt;&gt;"",H6&lt;G6), AND(I6&lt;&gt;"",I6&lt;H6), AND(J6&lt;&gt;"",J6&lt;I6), AND(K6&lt;&gt;"",K6&lt;J6), AND(L6&lt;&gt;"",L6&lt;K6), AND(M6&lt;&gt;"",M6&lt;L6), AND(N6&lt;&gt;"",N6&lt;M6), AND(O6&lt;&gt;"",O6&lt;N6), AND(P6&lt;&gt;"",P6&lt;O6)), "Review", "Hold")</f>
        <v/>
      </c>
    </row>
    <row r="7">
      <c r="A7" s="8" t="inlineStr">
        <is>
          <t>BAJAJ-AUTO.NS</t>
        </is>
      </c>
      <c r="B7" s="8" t="inlineStr">
        <is>
          <t>Bajaj Auto Ltd.</t>
        </is>
      </c>
      <c r="C7" s="9" t="n">
        <v>10111</v>
      </c>
      <c r="D7" s="9" t="n">
        <v>10056</v>
      </c>
      <c r="E7" s="9" t="n">
        <v>10070</v>
      </c>
      <c r="F7" s="9" t="n">
        <v>10064</v>
      </c>
      <c r="G7" s="9" t="n">
        <v>10044</v>
      </c>
      <c r="H7" s="9" t="n">
        <v>9986</v>
      </c>
      <c r="I7" s="9" t="n">
        <v>10005</v>
      </c>
      <c r="J7" s="9" t="n">
        <v>9989</v>
      </c>
      <c r="K7" s="9" t="n">
        <v>9960</v>
      </c>
      <c r="L7" s="9" t="n">
        <v>9992</v>
      </c>
      <c r="M7" s="9" t="n">
        <v>10020</v>
      </c>
      <c r="N7" s="9" t="n">
        <v>10062</v>
      </c>
      <c r="O7" s="9" t="n">
        <v>10061</v>
      </c>
      <c r="P7" s="9" t="n">
        <v>10080</v>
      </c>
      <c r="Q7" s="10">
        <f>IF(OR(AND(D7&lt;&gt;"",D7&lt;C7), AND(E7&lt;&gt;"",E7&lt;D7), AND(F7&lt;&gt;"",F7&lt;E7), AND(G7&lt;&gt;"",G7&lt;F7), AND(H7&lt;&gt;"",H7&lt;G7), AND(I7&lt;&gt;"",I7&lt;H7), AND(J7&lt;&gt;"",J7&lt;I7), AND(K7&lt;&gt;"",K7&lt;J7), AND(L7&lt;&gt;"",L7&lt;K7), AND(M7&lt;&gt;"",M7&lt;L7), AND(N7&lt;&gt;"",N7&lt;M7), AND(O7&lt;&gt;"",O7&lt;N7), AND(P7&lt;&gt;"",P7&lt;O7)), "Review", "Hold")</f>
        <v/>
      </c>
    </row>
    <row r="8">
      <c r="A8" s="5" t="inlineStr">
        <is>
          <t>BAJFINANCE.NS</t>
        </is>
      </c>
      <c r="B8" s="5" t="inlineStr">
        <is>
          <t>Bajaj Finance Ltd.</t>
        </is>
      </c>
      <c r="C8" s="6" t="n">
        <v>955</v>
      </c>
      <c r="D8" s="6" t="n">
        <v>961</v>
      </c>
      <c r="E8" s="6" t="n">
        <v>963.25</v>
      </c>
      <c r="F8" s="6" t="n">
        <v>965.9000244140625</v>
      </c>
      <c r="G8" s="6" t="n">
        <v>970.0499877929688</v>
      </c>
      <c r="H8" s="6" t="n">
        <v>965</v>
      </c>
      <c r="I8" s="6" t="n">
        <v>967.7999877929688</v>
      </c>
      <c r="J8" s="6" t="n">
        <v>964.1500244140625</v>
      </c>
      <c r="K8" s="6" t="n">
        <v>963.2999877929688</v>
      </c>
      <c r="L8" s="6" t="n">
        <v>964.9000244140625</v>
      </c>
      <c r="M8" s="6" t="n">
        <v>964.9500122070312</v>
      </c>
      <c r="N8" s="6" t="n">
        <v>964.4500122070312</v>
      </c>
      <c r="O8" s="6" t="n">
        <v>962.1500244140625</v>
      </c>
      <c r="P8" s="6" t="n">
        <v>964</v>
      </c>
      <c r="Q8" s="7">
        <f>IF(OR(AND(D8&lt;&gt;"",D8&lt;C8), AND(E8&lt;&gt;"",E8&lt;D8), AND(F8&lt;&gt;"",F8&lt;E8), AND(G8&lt;&gt;"",G8&lt;F8), AND(H8&lt;&gt;"",H8&lt;G8), AND(I8&lt;&gt;"",I8&lt;H8), AND(J8&lt;&gt;"",J8&lt;I8), AND(K8&lt;&gt;"",K8&lt;J8), AND(L8&lt;&gt;"",L8&lt;K8), AND(M8&lt;&gt;"",M8&lt;L8), AND(N8&lt;&gt;"",N8&lt;M8), AND(O8&lt;&gt;"",O8&lt;N8), AND(P8&lt;&gt;"",P8&lt;O8)), "Review", "Hold")</f>
        <v/>
      </c>
    </row>
    <row r="9">
      <c r="A9" s="8" t="inlineStr">
        <is>
          <t>BAJAJFINSV.NS</t>
        </is>
      </c>
      <c r="B9" s="8" t="inlineStr">
        <is>
          <t>Bajaj Finserv Ltd.</t>
        </is>
      </c>
      <c r="C9" s="9" t="n">
        <v>1765.599975585938</v>
      </c>
      <c r="D9" s="9" t="n">
        <v>1766.800048828125</v>
      </c>
      <c r="E9" s="9" t="n">
        <v>1773.199951171875</v>
      </c>
      <c r="F9" s="9" t="n">
        <v>1764.599975585938</v>
      </c>
      <c r="G9" s="9" t="n">
        <v>1767.300048828125</v>
      </c>
      <c r="H9" s="9" t="n">
        <v>1768.099975585938</v>
      </c>
      <c r="I9" s="9" t="n">
        <v>1768.300048828125</v>
      </c>
      <c r="J9" s="9" t="n">
        <v>1769.599975585938</v>
      </c>
      <c r="K9" s="9" t="n">
        <v>1769.900024414062</v>
      </c>
      <c r="L9" s="9" t="n">
        <v>1767.300048828125</v>
      </c>
      <c r="M9" s="9" t="n">
        <v>1770</v>
      </c>
      <c r="N9" s="9" t="n">
        <v>1769.800048828125</v>
      </c>
      <c r="O9" s="9" t="n">
        <v>1771.699951171875</v>
      </c>
      <c r="P9" s="9" t="n">
        <v>1772.699951171875</v>
      </c>
      <c r="Q9" s="10">
        <f>IF(OR(AND(D9&lt;&gt;"",D9&lt;C9), AND(E9&lt;&gt;"",E9&lt;D9), AND(F9&lt;&gt;"",F9&lt;E9), AND(G9&lt;&gt;"",G9&lt;F9), AND(H9&lt;&gt;"",H9&lt;G9), AND(I9&lt;&gt;"",I9&lt;H9), AND(J9&lt;&gt;"",J9&lt;I9), AND(K9&lt;&gt;"",K9&lt;J9), AND(L9&lt;&gt;"",L9&lt;K9), AND(M9&lt;&gt;"",M9&lt;L9), AND(N9&lt;&gt;"",N9&lt;M9), AND(O9&lt;&gt;"",O9&lt;N9), AND(P9&lt;&gt;"",P9&lt;O9)), "Review", "Hold")</f>
        <v/>
      </c>
    </row>
    <row r="10">
      <c r="A10" s="5" t="inlineStr">
        <is>
          <t>BEL.NS</t>
        </is>
      </c>
      <c r="B10" s="5" t="inlineStr">
        <is>
          <t>Bharat Electronics Ltd.</t>
        </is>
      </c>
      <c r="C10" s="6" t="n">
        <v>426.9500122070312</v>
      </c>
      <c r="D10" s="6" t="n">
        <v>425</v>
      </c>
      <c r="E10" s="6" t="n">
        <v>426.5</v>
      </c>
      <c r="F10" s="6" t="n">
        <v>426.2000122070312</v>
      </c>
      <c r="G10" s="6" t="n">
        <v>429.9500122070312</v>
      </c>
      <c r="H10" s="6" t="n">
        <v>428.6499938964844</v>
      </c>
      <c r="I10" s="6" t="n">
        <v>428.6000061035156</v>
      </c>
      <c r="J10" s="6" t="n">
        <v>427</v>
      </c>
      <c r="K10" s="6" t="n">
        <v>426.3999938964844</v>
      </c>
      <c r="L10" s="6" t="n">
        <v>426.8500061035156</v>
      </c>
      <c r="M10" s="6" t="n">
        <v>427.9500122070312</v>
      </c>
      <c r="N10" s="6" t="n">
        <v>427.3999938964844</v>
      </c>
      <c r="O10" s="6" t="n">
        <v>427.25</v>
      </c>
      <c r="P10" s="6" t="n">
        <v>426.8999938964844</v>
      </c>
      <c r="Q10" s="7">
        <f>IF(OR(AND(D10&lt;&gt;"",D10&lt;C10), AND(E10&lt;&gt;"",E10&lt;D10), AND(F10&lt;&gt;"",F10&lt;E10), AND(G10&lt;&gt;"",G10&lt;F10), AND(H10&lt;&gt;"",H10&lt;G10), AND(I10&lt;&gt;"",I10&lt;H10), AND(J10&lt;&gt;"",J10&lt;I10), AND(K10&lt;&gt;"",K10&lt;J10), AND(L10&lt;&gt;"",L10&lt;K10), AND(M10&lt;&gt;"",M10&lt;L10), AND(N10&lt;&gt;"",N10&lt;M10), AND(O10&lt;&gt;"",O10&lt;N10), AND(P10&lt;&gt;"",P10&lt;O10)), "Review", "Hold")</f>
        <v/>
      </c>
    </row>
    <row r="11">
      <c r="A11" s="8" t="inlineStr">
        <is>
          <t>BHARTIARTL.NS</t>
        </is>
      </c>
      <c r="B11" s="8" t="inlineStr">
        <is>
          <t>Bharti Airtel Ltd.</t>
        </is>
      </c>
      <c r="C11" s="9" t="n">
        <v>1873.5</v>
      </c>
      <c r="D11" s="9" t="n">
        <v>1882.5</v>
      </c>
      <c r="E11" s="9" t="n">
        <v>1897.800048828125</v>
      </c>
      <c r="F11" s="9" t="n">
        <v>1894.900024414062</v>
      </c>
      <c r="G11" s="9" t="n">
        <v>1890.900024414062</v>
      </c>
      <c r="H11" s="9" t="n">
        <v>1893</v>
      </c>
      <c r="I11" s="9" t="n">
        <v>1888.099975585938</v>
      </c>
      <c r="J11" s="9" t="n">
        <v>1889.699951171875</v>
      </c>
      <c r="K11" s="9" t="n">
        <v>1889.599975585938</v>
      </c>
      <c r="L11" s="9" t="n">
        <v>1890</v>
      </c>
      <c r="M11" s="9" t="n">
        <v>1894.5</v>
      </c>
      <c r="N11" s="9" t="n">
        <v>1899.300048828125</v>
      </c>
      <c r="O11" s="9" t="n">
        <v>1910.300048828125</v>
      </c>
      <c r="P11" s="9" t="n">
        <v>1906.900024414062</v>
      </c>
      <c r="Q11" s="10">
        <f>IF(OR(AND(D11&lt;&gt;"",D11&lt;C11), AND(E11&lt;&gt;"",E11&lt;D11), AND(F11&lt;&gt;"",F11&lt;E11), AND(G11&lt;&gt;"",G11&lt;F11), AND(H11&lt;&gt;"",H11&lt;G11), AND(I11&lt;&gt;"",I11&lt;H11), AND(J11&lt;&gt;"",J11&lt;I11), AND(K11&lt;&gt;"",K11&lt;J11), AND(L11&lt;&gt;"",L11&lt;K11), AND(M11&lt;&gt;"",M11&lt;L11), AND(N11&lt;&gt;"",N11&lt;M11), AND(O11&lt;&gt;"",O11&lt;N11), AND(P11&lt;&gt;"",P11&lt;O11)), "Review", "Hold")</f>
        <v/>
      </c>
    </row>
    <row r="12">
      <c r="A12" s="5" t="inlineStr">
        <is>
          <t>CIPLA.NS</t>
        </is>
      </c>
      <c r="B12" s="5" t="inlineStr">
        <is>
          <t>Cipla Ltd.</t>
        </is>
      </c>
      <c r="C12" s="6" t="n">
        <v>1357.099975585938</v>
      </c>
      <c r="D12" s="6" t="n">
        <v>1357.400024414062</v>
      </c>
      <c r="E12" s="6" t="n">
        <v>1359.900024414062</v>
      </c>
      <c r="F12" s="6" t="n">
        <v>1357.400024414062</v>
      </c>
      <c r="G12" s="6" t="n">
        <v>1353.199951171875</v>
      </c>
      <c r="H12" s="6" t="n">
        <v>1355.5</v>
      </c>
      <c r="I12" s="6" t="n">
        <v>1354.400024414062</v>
      </c>
      <c r="J12" s="6" t="n">
        <v>1355.599975585938</v>
      </c>
      <c r="K12" s="6" t="n">
        <v>1352.099975585938</v>
      </c>
      <c r="L12" s="6" t="n">
        <v>1354</v>
      </c>
      <c r="M12" s="6" t="n">
        <v>1352.699951171875</v>
      </c>
      <c r="N12" s="6" t="n">
        <v>1351.199951171875</v>
      </c>
      <c r="O12" s="6" t="n">
        <v>1351.900024414062</v>
      </c>
      <c r="P12" s="6" t="n">
        <v>1358.199951171875</v>
      </c>
      <c r="Q12" s="7">
        <f>IF(OR(AND(D12&lt;&gt;"",D12&lt;C12), AND(E12&lt;&gt;"",E12&lt;D12), AND(F12&lt;&gt;"",F12&lt;E12), AND(G12&lt;&gt;"",G12&lt;F12), AND(H12&lt;&gt;"",H12&lt;G12), AND(I12&lt;&gt;"",I12&lt;H12), AND(J12&lt;&gt;"",J12&lt;I12), AND(K12&lt;&gt;"",K12&lt;J12), AND(L12&lt;&gt;"",L12&lt;K12), AND(M12&lt;&gt;"",M12&lt;L12), AND(N12&lt;&gt;"",N12&lt;M12), AND(O12&lt;&gt;"",O12&lt;N12), AND(P12&lt;&gt;"",P12&lt;O12)), "Review", "Hold")</f>
        <v/>
      </c>
    </row>
    <row r="13">
      <c r="A13" s="8" t="inlineStr">
        <is>
          <t>COALINDIA.NS</t>
        </is>
      </c>
      <c r="B13" s="8" t="inlineStr">
        <is>
          <t>Coal India Ltd.</t>
        </is>
      </c>
      <c r="C13" s="9" t="n">
        <v>452.25</v>
      </c>
      <c r="D13" s="9" t="n">
        <v>452.3500061035156</v>
      </c>
      <c r="E13" s="9" t="n">
        <v>453.3999938964844</v>
      </c>
      <c r="F13" s="9" t="n">
        <v>452</v>
      </c>
      <c r="G13" s="9" t="n">
        <v>451.6499938964844</v>
      </c>
      <c r="H13" s="9" t="n">
        <v>451.5</v>
      </c>
      <c r="I13" s="9" t="n">
        <v>450.8999938964844</v>
      </c>
      <c r="J13" s="9" t="n">
        <v>449.8500061035156</v>
      </c>
      <c r="K13" s="9" t="n">
        <v>449.75</v>
      </c>
      <c r="L13" s="9" t="n">
        <v>449.1000061035156</v>
      </c>
      <c r="M13" s="9" t="n">
        <v>450.3999938964844</v>
      </c>
      <c r="N13" s="9" t="n">
        <v>449.3500061035156</v>
      </c>
      <c r="O13" s="9" t="n">
        <v>451.6000061035156</v>
      </c>
      <c r="P13" s="9" t="n">
        <v>452.1499938964844</v>
      </c>
      <c r="Q13" s="10">
        <f>IF(OR(AND(D13&lt;&gt;"",D13&lt;C13), AND(E13&lt;&gt;"",E13&lt;D13), AND(F13&lt;&gt;"",F13&lt;E13), AND(G13&lt;&gt;"",G13&lt;F13), AND(H13&lt;&gt;"",H13&lt;G13), AND(I13&lt;&gt;"",I13&lt;H13), AND(J13&lt;&gt;"",J13&lt;I13), AND(K13&lt;&gt;"",K13&lt;J13), AND(L13&lt;&gt;"",L13&lt;K13), AND(M13&lt;&gt;"",M13&lt;L13), AND(N13&lt;&gt;"",N13&lt;M13), AND(O13&lt;&gt;"",O13&lt;N13), AND(P13&lt;&gt;"",P13&lt;O13)), "Review", "Hold")</f>
        <v/>
      </c>
    </row>
    <row r="14">
      <c r="A14" s="5" t="inlineStr">
        <is>
          <t>DRREDDY.NS</t>
        </is>
      </c>
      <c r="B14" s="5" t="inlineStr">
        <is>
          <t>Dr. Reddy's Laboratories Ltd.</t>
        </is>
      </c>
      <c r="C14" s="6" t="n">
        <v>1267.5</v>
      </c>
      <c r="D14" s="6" t="n">
        <v>1267.599975585938</v>
      </c>
      <c r="E14" s="6" t="n">
        <v>1263.599975585938</v>
      </c>
      <c r="F14" s="6" t="n">
        <v>1264.199951171875</v>
      </c>
      <c r="G14" s="6" t="n">
        <v>1262.599975585938</v>
      </c>
      <c r="H14" s="6" t="n">
        <v>1263.900024414062</v>
      </c>
      <c r="I14" s="6" t="n">
        <v>1265.400024414062</v>
      </c>
      <c r="J14" s="6" t="n">
        <v>1266.400024414062</v>
      </c>
      <c r="K14" s="6" t="n">
        <v>1265.5</v>
      </c>
      <c r="L14" s="6" t="n">
        <v>1265.400024414062</v>
      </c>
      <c r="M14" s="6" t="n">
        <v>1266.400024414062</v>
      </c>
      <c r="N14" s="6" t="n">
        <v>1268</v>
      </c>
      <c r="O14" s="6" t="n">
        <v>1273</v>
      </c>
      <c r="P14" s="6" t="n">
        <v>1273</v>
      </c>
      <c r="Q14" s="7">
        <f>IF(OR(AND(D14&lt;&gt;"",D14&lt;C14), AND(E14&lt;&gt;"",E14&lt;D14), AND(F14&lt;&gt;"",F14&lt;E14), AND(G14&lt;&gt;"",G14&lt;F14), AND(H14&lt;&gt;"",H14&lt;G14), AND(I14&lt;&gt;"",I14&lt;H14), AND(J14&lt;&gt;"",J14&lt;I14), AND(K14&lt;&gt;"",K14&lt;J14), AND(L14&lt;&gt;"",L14&lt;K14), AND(M14&lt;&gt;"",M14&lt;L14), AND(N14&lt;&gt;"",N14&lt;M14), AND(O14&lt;&gt;"",O14&lt;N14), AND(P14&lt;&gt;"",P14&lt;O14)), "Review", "Hold")</f>
        <v/>
      </c>
    </row>
    <row r="15">
      <c r="A15" s="8" t="inlineStr">
        <is>
          <t>EICHERMOT.NS</t>
        </is>
      </c>
      <c r="B15" s="8" t="inlineStr">
        <is>
          <t>Eicher Motors Ltd.</t>
        </is>
      </c>
      <c r="C15" s="9" t="n">
        <v>7550</v>
      </c>
      <c r="D15" s="9" t="n">
        <v>7588</v>
      </c>
      <c r="E15" s="9" t="n">
        <v>7570</v>
      </c>
      <c r="F15" s="9" t="n">
        <v>7573.5</v>
      </c>
      <c r="G15" s="9" t="n">
        <v>7572</v>
      </c>
      <c r="H15" s="9" t="n">
        <v>7585</v>
      </c>
      <c r="I15" s="9" t="n">
        <v>7591.5</v>
      </c>
      <c r="J15" s="9" t="n">
        <v>7588</v>
      </c>
      <c r="K15" s="9" t="n">
        <v>7567</v>
      </c>
      <c r="L15" s="9" t="n">
        <v>7574</v>
      </c>
      <c r="M15" s="9" t="n">
        <v>7590</v>
      </c>
      <c r="N15" s="9" t="n">
        <v>7595</v>
      </c>
      <c r="O15" s="9" t="n">
        <v>7623.5</v>
      </c>
      <c r="P15" s="9" t="n">
        <v>7638.5</v>
      </c>
      <c r="Q15" s="10">
        <f>IF(OR(AND(D15&lt;&gt;"",D15&lt;C15), AND(E15&lt;&gt;"",E15&lt;D15), AND(F15&lt;&gt;"",F15&lt;E15), AND(G15&lt;&gt;"",G15&lt;F15), AND(H15&lt;&gt;"",H15&lt;G15), AND(I15&lt;&gt;"",I15&lt;H15), AND(J15&lt;&gt;"",J15&lt;I15), AND(K15&lt;&gt;"",K15&lt;J15), AND(L15&lt;&gt;"",L15&lt;K15), AND(M15&lt;&gt;"",M15&lt;L15), AND(N15&lt;&gt;"",N15&lt;M15), AND(O15&lt;&gt;"",O15&lt;N15), AND(P15&lt;&gt;"",P15&lt;O15)), "Review", "Hold")</f>
        <v/>
      </c>
    </row>
    <row r="16">
      <c r="A16" s="5" t="inlineStr">
        <is>
          <t>ETERNAL.NS</t>
        </is>
      </c>
      <c r="B16" s="5" t="inlineStr">
        <is>
          <t>Eternal Ltd.</t>
        </is>
      </c>
      <c r="C16" s="6" t="n">
        <v>257.2999877929688</v>
      </c>
      <c r="D16" s="6" t="n">
        <v>256.0499877929688</v>
      </c>
      <c r="E16" s="6" t="n">
        <v>258.2000122070312</v>
      </c>
      <c r="F16" s="6" t="n">
        <v>258.8999938964844</v>
      </c>
      <c r="G16" s="6" t="n">
        <v>257.8999938964844</v>
      </c>
      <c r="H16" s="6" t="n">
        <v>258.1499938964844</v>
      </c>
      <c r="I16" s="6" t="n">
        <v>258.0499877929688</v>
      </c>
      <c r="J16" s="6" t="n">
        <v>258.75</v>
      </c>
      <c r="K16" s="6" t="n">
        <v>259</v>
      </c>
      <c r="L16" s="6" t="n">
        <v>261</v>
      </c>
      <c r="M16" s="6" t="n">
        <v>261.4500122070312</v>
      </c>
      <c r="N16" s="6" t="n">
        <v>262.1000061035156</v>
      </c>
      <c r="O16" s="6" t="n">
        <v>264.4500122070312</v>
      </c>
      <c r="P16" s="6" t="n">
        <v>263.8500061035156</v>
      </c>
      <c r="Q16" s="7">
        <f>IF(OR(AND(D16&lt;&gt;"",D16&lt;C16), AND(E16&lt;&gt;"",E16&lt;D16), AND(F16&lt;&gt;"",F16&lt;E16), AND(G16&lt;&gt;"",G16&lt;F16), AND(H16&lt;&gt;"",H16&lt;G16), AND(I16&lt;&gt;"",I16&lt;H16), AND(J16&lt;&gt;"",J16&lt;I16), AND(K16&lt;&gt;"",K16&lt;J16), AND(L16&lt;&gt;"",L16&lt;K16), AND(M16&lt;&gt;"",M16&lt;L16), AND(N16&lt;&gt;"",N16&lt;M16), AND(O16&lt;&gt;"",O16&lt;N16), AND(P16&lt;&gt;"",P16&lt;O16)), "Review", "Hold")</f>
        <v/>
      </c>
    </row>
    <row r="17">
      <c r="A17" s="8" t="inlineStr">
        <is>
          <t>GRASIM.NS</t>
        </is>
      </c>
      <c r="B17" s="8" t="inlineStr">
        <is>
          <t>Grasim Industries Ltd.</t>
        </is>
      </c>
      <c r="C17" s="9" t="n">
        <v>3142</v>
      </c>
      <c r="D17" s="9" t="n">
        <v>3161</v>
      </c>
      <c r="E17" s="9" t="n">
        <v>3157.800048828125</v>
      </c>
      <c r="F17" s="9" t="n">
        <v>3157</v>
      </c>
      <c r="G17" s="9" t="n">
        <v>3154.199951171875</v>
      </c>
      <c r="H17" s="9" t="n">
        <v>3153.199951171875</v>
      </c>
      <c r="I17" s="9" t="n">
        <v>3151.699951171875</v>
      </c>
      <c r="J17" s="9" t="n">
        <v>3135.89990234375</v>
      </c>
      <c r="K17" s="9" t="n">
        <v>3138.60009765625</v>
      </c>
      <c r="L17" s="9" t="n">
        <v>3135.300048828125</v>
      </c>
      <c r="M17" s="9" t="n">
        <v>3142.699951171875</v>
      </c>
      <c r="N17" s="9" t="n">
        <v>3138.199951171875</v>
      </c>
      <c r="O17" s="9" t="n">
        <v>3154.800048828125</v>
      </c>
      <c r="P17" s="9" t="n">
        <v>3158</v>
      </c>
      <c r="Q17" s="10">
        <f>IF(OR(AND(D17&lt;&gt;"",D17&lt;C17), AND(E17&lt;&gt;"",E17&lt;D17), AND(F17&lt;&gt;"",F17&lt;E17), AND(G17&lt;&gt;"",G17&lt;F17), AND(H17&lt;&gt;"",H17&lt;G17), AND(I17&lt;&gt;"",I17&lt;H17), AND(J17&lt;&gt;"",J17&lt;I17), AND(K17&lt;&gt;"",K17&lt;J17), AND(L17&lt;&gt;"",L17&lt;K17), AND(M17&lt;&gt;"",M17&lt;L17), AND(N17&lt;&gt;"",N17&lt;M17), AND(O17&lt;&gt;"",O17&lt;N17), AND(P17&lt;&gt;"",P17&lt;O17)), "Review", "Hold")</f>
        <v/>
      </c>
    </row>
    <row r="18">
      <c r="A18" s="5" t="inlineStr">
        <is>
          <t>HCLTECH.NS</t>
        </is>
      </c>
      <c r="B18" s="5" t="inlineStr">
        <is>
          <t>HCL Technologies Ltd.</t>
        </is>
      </c>
      <c r="C18" s="6" t="n">
        <v>1111</v>
      </c>
      <c r="D18" s="6" t="n">
        <v>1104.900024414062</v>
      </c>
      <c r="E18" s="6" t="n">
        <v>1111.099975585938</v>
      </c>
      <c r="F18" s="6" t="n">
        <v>1114.400024414062</v>
      </c>
      <c r="G18" s="6" t="n">
        <v>1115.800048828125</v>
      </c>
      <c r="H18" s="6" t="n">
        <v>1116.099975585938</v>
      </c>
      <c r="I18" s="6" t="n">
        <v>1117.900024414062</v>
      </c>
      <c r="J18" s="6" t="n">
        <v>1115.800048828125</v>
      </c>
      <c r="K18" s="6" t="n">
        <v>1117.599975585938</v>
      </c>
      <c r="L18" s="6" t="n">
        <v>1116</v>
      </c>
      <c r="M18" s="6" t="n">
        <v>1117.5</v>
      </c>
      <c r="N18" s="6" t="n">
        <v>1120.300048828125</v>
      </c>
      <c r="O18" s="6" t="n">
        <v>1133</v>
      </c>
      <c r="P18" s="6" t="n">
        <v>1136</v>
      </c>
      <c r="Q18" s="7">
        <f>IF(OR(AND(D18&lt;&gt;"",D18&lt;C18), AND(E18&lt;&gt;"",E18&lt;D18), AND(F18&lt;&gt;"",F18&lt;E18), AND(G18&lt;&gt;"",G18&lt;F18), AND(H18&lt;&gt;"",H18&lt;G18), AND(I18&lt;&gt;"",I18&lt;H18), AND(J18&lt;&gt;"",J18&lt;I18), AND(K18&lt;&gt;"",K18&lt;J18), AND(L18&lt;&gt;"",L18&lt;K18), AND(M18&lt;&gt;"",M18&lt;L18), AND(N18&lt;&gt;"",N18&lt;M18), AND(O18&lt;&gt;"",O18&lt;N18), AND(P18&lt;&gt;"",P18&lt;O18)), "Review", "Hold")</f>
        <v/>
      </c>
    </row>
    <row r="19">
      <c r="A19" s="8" t="inlineStr">
        <is>
          <t>HDFCBANK.NS</t>
        </is>
      </c>
      <c r="B19" s="8" t="inlineStr">
        <is>
          <t>HDFC Bank Ltd.</t>
        </is>
      </c>
      <c r="C19" s="9" t="n">
        <v>787.4000244140625</v>
      </c>
      <c r="D19" s="9" t="n">
        <v>782.7999877929688</v>
      </c>
      <c r="E19" s="9" t="n">
        <v>782.4500122070312</v>
      </c>
      <c r="F19" s="9" t="n">
        <v>780.8499755859375</v>
      </c>
      <c r="G19" s="9" t="n">
        <v>780.4000244140625</v>
      </c>
      <c r="H19" s="9" t="n">
        <v>778.9000244140625</v>
      </c>
      <c r="I19" s="9" t="n">
        <v>777.7999877929688</v>
      </c>
      <c r="J19" s="9" t="n">
        <v>779.2999877929688</v>
      </c>
      <c r="K19" s="9" t="n">
        <v>777.0999755859375</v>
      </c>
      <c r="L19" s="9" t="n">
        <v>777.7000122070312</v>
      </c>
      <c r="M19" s="9" t="n">
        <v>779</v>
      </c>
      <c r="N19" s="9" t="n">
        <v>779.5499877929688</v>
      </c>
      <c r="O19" s="9" t="n">
        <v>780</v>
      </c>
      <c r="P19" s="9" t="n">
        <v>781</v>
      </c>
      <c r="Q19" s="10">
        <f>IF(OR(AND(D19&lt;&gt;"",D19&lt;C19), AND(E19&lt;&gt;"",E19&lt;D19), AND(F19&lt;&gt;"",F19&lt;E19), AND(G19&lt;&gt;"",G19&lt;F19), AND(H19&lt;&gt;"",H19&lt;G19), AND(I19&lt;&gt;"",I19&lt;H19), AND(J19&lt;&gt;"",J19&lt;I19), AND(K19&lt;&gt;"",K19&lt;J19), AND(L19&lt;&gt;"",L19&lt;K19), AND(M19&lt;&gt;"",M19&lt;L19), AND(N19&lt;&gt;"",N19&lt;M19), AND(O19&lt;&gt;"",O19&lt;N19), AND(P19&lt;&gt;"",P19&lt;O19)), "Review", "Hold")</f>
        <v/>
      </c>
    </row>
    <row r="20">
      <c r="A20" s="5" t="inlineStr">
        <is>
          <t>HDFCLIFE.NS</t>
        </is>
      </c>
      <c r="B20" s="5" t="inlineStr">
        <is>
          <t>HDFC Life Insurance Company Ltd.</t>
        </is>
      </c>
      <c r="C20" s="6" t="n">
        <v>587</v>
      </c>
      <c r="D20" s="6" t="n">
        <v>589.0499877929688</v>
      </c>
      <c r="E20" s="6" t="n">
        <v>590.7999877929688</v>
      </c>
      <c r="F20" s="6" t="n">
        <v>587.25</v>
      </c>
      <c r="G20" s="6" t="n">
        <v>588.2999877929688</v>
      </c>
      <c r="H20" s="6" t="n">
        <v>587.7999877929688</v>
      </c>
      <c r="I20" s="6" t="n">
        <v>586.6500244140625</v>
      </c>
      <c r="J20" s="6" t="n">
        <v>586.25</v>
      </c>
      <c r="K20" s="6" t="n">
        <v>587.5999755859375</v>
      </c>
      <c r="L20" s="6" t="n">
        <v>585.4500122070312</v>
      </c>
      <c r="M20" s="6" t="n">
        <v>589.7000122070312</v>
      </c>
      <c r="N20" s="6" t="n">
        <v>590.1500244140625</v>
      </c>
      <c r="O20" s="6" t="n">
        <v>591.9500122070312</v>
      </c>
      <c r="P20" s="6" t="n">
        <v>593.7999877929688</v>
      </c>
      <c r="Q20" s="7">
        <f>IF(OR(AND(D20&lt;&gt;"",D20&lt;C20), AND(E20&lt;&gt;"",E20&lt;D20), AND(F20&lt;&gt;"",F20&lt;E20), AND(G20&lt;&gt;"",G20&lt;F20), AND(H20&lt;&gt;"",H20&lt;G20), AND(I20&lt;&gt;"",I20&lt;H20), AND(J20&lt;&gt;"",J20&lt;I20), AND(K20&lt;&gt;"",K20&lt;J20), AND(L20&lt;&gt;"",L20&lt;K20), AND(M20&lt;&gt;"",M20&lt;L20), AND(N20&lt;&gt;"",N20&lt;M20), AND(O20&lt;&gt;"",O20&lt;N20), AND(P20&lt;&gt;"",P20&lt;O20)), "Review", "Hold")</f>
        <v/>
      </c>
    </row>
    <row r="21">
      <c r="A21" s="8" t="inlineStr">
        <is>
          <t>HINDALCO.NS</t>
        </is>
      </c>
      <c r="B21" s="8" t="inlineStr">
        <is>
          <t>Hindalco Industries Ltd.</t>
        </is>
      </c>
      <c r="C21" s="9" t="n">
        <v>989.0999755859375</v>
      </c>
      <c r="D21" s="9" t="n">
        <v>1005.299987792969</v>
      </c>
      <c r="E21" s="9" t="n">
        <v>1003.900024414062</v>
      </c>
      <c r="F21" s="9" t="n">
        <v>1005.900024414062</v>
      </c>
      <c r="G21" s="9" t="n">
        <v>1003.5</v>
      </c>
      <c r="H21" s="9" t="n">
        <v>1007.900024414062</v>
      </c>
      <c r="I21" s="9" t="n">
        <v>1007.700012207031</v>
      </c>
      <c r="J21" s="9" t="n">
        <v>1009.599975585938</v>
      </c>
      <c r="K21" s="9" t="n">
        <v>1008.200012207031</v>
      </c>
      <c r="L21" s="9" t="n">
        <v>1011.900024414062</v>
      </c>
      <c r="M21" s="9" t="n">
        <v>1012.5</v>
      </c>
      <c r="N21" s="9" t="n">
        <v>1011.700012207031</v>
      </c>
      <c r="O21" s="9" t="n">
        <v>1009.700012207031</v>
      </c>
      <c r="P21" s="9" t="n">
        <v>1015.5</v>
      </c>
      <c r="Q21" s="10">
        <f>IF(OR(AND(D21&lt;&gt;"",D21&lt;C21), AND(E21&lt;&gt;"",E21&lt;D21), AND(F21&lt;&gt;"",F21&lt;E21), AND(G21&lt;&gt;"",G21&lt;F21), AND(H21&lt;&gt;"",H21&lt;G21), AND(I21&lt;&gt;"",I21&lt;H21), AND(J21&lt;&gt;"",J21&lt;I21), AND(K21&lt;&gt;"",K21&lt;J21), AND(L21&lt;&gt;"",L21&lt;K21), AND(M21&lt;&gt;"",M21&lt;L21), AND(N21&lt;&gt;"",N21&lt;M21), AND(O21&lt;&gt;"",O21&lt;N21), AND(P21&lt;&gt;"",P21&lt;O21)), "Review", "Hold")</f>
        <v/>
      </c>
    </row>
    <row r="22">
      <c r="A22" s="5" t="inlineStr">
        <is>
          <t>HINDUNILVR.NS</t>
        </is>
      </c>
      <c r="B22" s="5" t="inlineStr">
        <is>
          <t>Hindustan Unilever Ltd.</t>
        </is>
      </c>
      <c r="C22" s="6" t="n">
        <v>2208</v>
      </c>
      <c r="D22" s="6" t="n">
        <v>2196.199951171875</v>
      </c>
      <c r="E22" s="6" t="n">
        <v>2206</v>
      </c>
      <c r="F22" s="6" t="n">
        <v>2195.10009765625</v>
      </c>
      <c r="G22" s="6" t="n">
        <v>2194</v>
      </c>
      <c r="H22" s="6" t="n">
        <v>2191.800048828125</v>
      </c>
      <c r="I22" s="6" t="n">
        <v>2189.5</v>
      </c>
      <c r="J22" s="6" t="n">
        <v>2187</v>
      </c>
      <c r="K22" s="6" t="n">
        <v>2186.199951171875</v>
      </c>
      <c r="L22" s="6" t="n">
        <v>2184.10009765625</v>
      </c>
      <c r="M22" s="6" t="n">
        <v>2187.800048828125</v>
      </c>
      <c r="N22" s="6" t="n">
        <v>2188</v>
      </c>
      <c r="O22" s="6" t="n">
        <v>2194.699951171875</v>
      </c>
      <c r="P22" s="6" t="n">
        <v>2202</v>
      </c>
      <c r="Q22" s="7">
        <f>IF(OR(AND(D22&lt;&gt;"",D22&lt;C22), AND(E22&lt;&gt;"",E22&lt;D22), AND(F22&lt;&gt;"",F22&lt;E22), AND(G22&lt;&gt;"",G22&lt;F22), AND(H22&lt;&gt;"",H22&lt;G22), AND(I22&lt;&gt;"",I22&lt;H22), AND(J22&lt;&gt;"",J22&lt;I22), AND(K22&lt;&gt;"",K22&lt;J22), AND(L22&lt;&gt;"",L22&lt;K22), AND(M22&lt;&gt;"",M22&lt;L22), AND(N22&lt;&gt;"",N22&lt;M22), AND(O22&lt;&gt;"",O22&lt;N22), AND(P22&lt;&gt;"",P22&lt;O22)), "Review", "Hold")</f>
        <v/>
      </c>
    </row>
    <row r="23">
      <c r="A23" s="8" t="inlineStr">
        <is>
          <t>ICICIBANK.NS</t>
        </is>
      </c>
      <c r="B23" s="8" t="inlineStr">
        <is>
          <t>ICICI Bank Ltd.</t>
        </is>
      </c>
      <c r="C23" s="9" t="n">
        <v>1339.699951171875</v>
      </c>
      <c r="D23" s="9" t="n">
        <v>1345.699951171875</v>
      </c>
      <c r="E23" s="9" t="n">
        <v>1346.699951171875</v>
      </c>
      <c r="F23" s="9" t="n">
        <v>1346.900024414062</v>
      </c>
      <c r="G23" s="9" t="n">
        <v>1349</v>
      </c>
      <c r="H23" s="9" t="n">
        <v>1349.300048828125</v>
      </c>
      <c r="I23" s="9" t="n">
        <v>1348</v>
      </c>
      <c r="J23" s="9" t="n">
        <v>1346.199951171875</v>
      </c>
      <c r="K23" s="9" t="n">
        <v>1346.699951171875</v>
      </c>
      <c r="L23" s="9" t="n">
        <v>1343.400024414062</v>
      </c>
      <c r="M23" s="9" t="n">
        <v>1348.199951171875</v>
      </c>
      <c r="N23" s="9" t="n">
        <v>1348.199951171875</v>
      </c>
      <c r="O23" s="9" t="n">
        <v>1347.300048828125</v>
      </c>
      <c r="P23" s="9" t="n">
        <v>1347.800048828125</v>
      </c>
      <c r="Q23" s="10">
        <f>IF(OR(AND(D23&lt;&gt;"",D23&lt;C23), AND(E23&lt;&gt;"",E23&lt;D23), AND(F23&lt;&gt;"",F23&lt;E23), AND(G23&lt;&gt;"",G23&lt;F23), AND(H23&lt;&gt;"",H23&lt;G23), AND(I23&lt;&gt;"",I23&lt;H23), AND(J23&lt;&gt;"",J23&lt;I23), AND(K23&lt;&gt;"",K23&lt;J23), AND(L23&lt;&gt;"",L23&lt;K23), AND(M23&lt;&gt;"",M23&lt;L23), AND(N23&lt;&gt;"",N23&lt;M23), AND(O23&lt;&gt;"",O23&lt;N23), AND(P23&lt;&gt;"",P23&lt;O23)), "Review", "Hold")</f>
        <v/>
      </c>
    </row>
    <row r="24">
      <c r="A24" s="5" t="inlineStr">
        <is>
          <t>ITC.NS</t>
        </is>
      </c>
      <c r="B24" s="5" t="inlineStr">
        <is>
          <t>ITC Ltd.</t>
        </is>
      </c>
      <c r="C24" s="6" t="n">
        <v>289.7999877929688</v>
      </c>
      <c r="D24" s="6" t="n">
        <v>289.9500122070312</v>
      </c>
      <c r="E24" s="6" t="n">
        <v>290.3999938964844</v>
      </c>
      <c r="F24" s="6" t="n">
        <v>290</v>
      </c>
      <c r="G24" s="6" t="n">
        <v>289.6499938964844</v>
      </c>
      <c r="H24" s="6" t="n">
        <v>289.3999938964844</v>
      </c>
      <c r="I24" s="6" t="n">
        <v>289.4500122070312</v>
      </c>
      <c r="J24" s="6" t="n">
        <v>289.7999877929688</v>
      </c>
      <c r="K24" s="6" t="n">
        <v>289.9500122070312</v>
      </c>
      <c r="L24" s="6" t="n">
        <v>289.8999938964844</v>
      </c>
      <c r="M24" s="6" t="n">
        <v>289.75</v>
      </c>
      <c r="N24" s="6" t="n">
        <v>289.8999938964844</v>
      </c>
      <c r="O24" s="6" t="n">
        <v>293.3500061035156</v>
      </c>
      <c r="P24" s="6" t="n">
        <v>293.75</v>
      </c>
      <c r="Q24" s="7">
        <f>IF(OR(AND(D24&lt;&gt;"",D24&lt;C24), AND(E24&lt;&gt;"",E24&lt;D24), AND(F24&lt;&gt;"",F24&lt;E24), AND(G24&lt;&gt;"",G24&lt;F24), AND(H24&lt;&gt;"",H24&lt;G24), AND(I24&lt;&gt;"",I24&lt;H24), AND(J24&lt;&gt;"",J24&lt;I24), AND(K24&lt;&gt;"",K24&lt;J24), AND(L24&lt;&gt;"",L24&lt;K24), AND(M24&lt;&gt;"",M24&lt;L24), AND(N24&lt;&gt;"",N24&lt;M24), AND(O24&lt;&gt;"",O24&lt;N24), AND(P24&lt;&gt;"",P24&lt;O24)), "Review", "Hold")</f>
        <v/>
      </c>
    </row>
    <row r="25">
      <c r="A25" s="8" t="inlineStr">
        <is>
          <t>INFY.NS</t>
        </is>
      </c>
      <c r="B25" s="8" t="inlineStr">
        <is>
          <t>Infosys Ltd.</t>
        </is>
      </c>
      <c r="C25" s="9" t="n">
        <v>1057.800048828125</v>
      </c>
      <c r="D25" s="9" t="n">
        <v>1036.900024414062</v>
      </c>
      <c r="E25" s="9" t="n">
        <v>1043.5</v>
      </c>
      <c r="F25" s="9" t="n">
        <v>1040.699951171875</v>
      </c>
      <c r="G25" s="9" t="n">
        <v>1038.400024414062</v>
      </c>
      <c r="H25" s="9" t="n">
        <v>1039.5</v>
      </c>
      <c r="I25" s="9" t="n">
        <v>1042.599975585938</v>
      </c>
      <c r="J25" s="9" t="n">
        <v>1042</v>
      </c>
      <c r="K25" s="9" t="n">
        <v>1039.900024414062</v>
      </c>
      <c r="L25" s="9" t="n">
        <v>1040.5</v>
      </c>
      <c r="M25" s="9" t="n">
        <v>1041.599975585938</v>
      </c>
      <c r="N25" s="9" t="n">
        <v>1042</v>
      </c>
      <c r="O25" s="9" t="n">
        <v>1054.699951171875</v>
      </c>
      <c r="P25" s="9" t="n">
        <v>1054.599975585938</v>
      </c>
      <c r="Q25" s="10">
        <f>IF(OR(AND(D25&lt;&gt;"",D25&lt;C25), AND(E25&lt;&gt;"",E25&lt;D25), AND(F25&lt;&gt;"",F25&lt;E25), AND(G25&lt;&gt;"",G25&lt;F25), AND(H25&lt;&gt;"",H25&lt;G25), AND(I25&lt;&gt;"",I25&lt;H25), AND(J25&lt;&gt;"",J25&lt;I25), AND(K25&lt;&gt;"",K25&lt;J25), AND(L25&lt;&gt;"",L25&lt;K25), AND(M25&lt;&gt;"",M25&lt;L25), AND(N25&lt;&gt;"",N25&lt;M25), AND(O25&lt;&gt;"",O25&lt;N25), AND(P25&lt;&gt;"",P25&lt;O25)), "Review", "Hold")</f>
        <v/>
      </c>
    </row>
    <row r="26">
      <c r="A26" s="5" t="inlineStr">
        <is>
          <t>INDIGO.NS</t>
        </is>
      </c>
      <c r="B26" s="5" t="inlineStr">
        <is>
          <t>InterGlobe Aviation Ltd.</t>
        </is>
      </c>
      <c r="C26" s="6" t="n">
        <v>5001.60009765625</v>
      </c>
      <c r="D26" s="6" t="n">
        <v>4983.2998046875</v>
      </c>
      <c r="E26" s="6" t="n">
        <v>4983.7001953125</v>
      </c>
      <c r="F26" s="6" t="n">
        <v>4975.7998046875</v>
      </c>
      <c r="G26" s="6" t="n">
        <v>4976.5</v>
      </c>
      <c r="H26" s="6" t="n">
        <v>4977.89990234375</v>
      </c>
      <c r="I26" s="6" t="n">
        <v>4975.5</v>
      </c>
      <c r="J26" s="6" t="n">
        <v>4973.7998046875</v>
      </c>
      <c r="K26" s="6" t="n">
        <v>4978.60009765625</v>
      </c>
      <c r="L26" s="6" t="n">
        <v>4985.2001953125</v>
      </c>
      <c r="M26" s="6" t="n">
        <v>4985.2001953125</v>
      </c>
      <c r="N26" s="6" t="n">
        <v>5002.5</v>
      </c>
      <c r="O26" s="6" t="n">
        <v>5030</v>
      </c>
      <c r="P26" s="6" t="n">
        <v>5020</v>
      </c>
      <c r="Q26" s="7">
        <f>IF(OR(AND(D26&lt;&gt;"",D26&lt;C26), AND(E26&lt;&gt;"",E26&lt;D26), AND(F26&lt;&gt;"",F26&lt;E26), AND(G26&lt;&gt;"",G26&lt;F26), AND(H26&lt;&gt;"",H26&lt;G26), AND(I26&lt;&gt;"",I26&lt;H26), AND(J26&lt;&gt;"",J26&lt;I26), AND(K26&lt;&gt;"",K26&lt;J26), AND(L26&lt;&gt;"",L26&lt;K26), AND(M26&lt;&gt;"",M26&lt;L26), AND(N26&lt;&gt;"",N26&lt;M26), AND(O26&lt;&gt;"",O26&lt;N26), AND(P26&lt;&gt;"",P26&lt;O26)), "Review", "Hold")</f>
        <v/>
      </c>
    </row>
    <row r="27">
      <c r="A27" s="8" t="inlineStr">
        <is>
          <t>JSWSTEEL.NS</t>
        </is>
      </c>
      <c r="B27" s="8" t="inlineStr">
        <is>
          <t>JSW Steel Ltd.</t>
        </is>
      </c>
      <c r="C27" s="9" t="n">
        <v>1279.5</v>
      </c>
      <c r="D27" s="9" t="n">
        <v>1289.099975585938</v>
      </c>
      <c r="E27" s="9" t="n">
        <v>1291.099975585938</v>
      </c>
      <c r="F27" s="9" t="n">
        <v>1290.300048828125</v>
      </c>
      <c r="G27" s="9" t="n">
        <v>1289.699951171875</v>
      </c>
      <c r="H27" s="9" t="n">
        <v>1288</v>
      </c>
      <c r="I27" s="9" t="n">
        <v>1288.300048828125</v>
      </c>
      <c r="J27" s="9" t="n">
        <v>1285.900024414062</v>
      </c>
      <c r="K27" s="9" t="n">
        <v>1286.800048828125</v>
      </c>
      <c r="L27" s="9" t="n">
        <v>1287.5</v>
      </c>
      <c r="M27" s="9" t="n">
        <v>1289.5</v>
      </c>
      <c r="N27" s="9" t="n">
        <v>1289.099975585938</v>
      </c>
      <c r="O27" s="9" t="n">
        <v>1288</v>
      </c>
      <c r="P27" s="9" t="n">
        <v>1295</v>
      </c>
      <c r="Q27" s="10">
        <f>IF(OR(AND(D27&lt;&gt;"",D27&lt;C27), AND(E27&lt;&gt;"",E27&lt;D27), AND(F27&lt;&gt;"",F27&lt;E27), AND(G27&lt;&gt;"",G27&lt;F27), AND(H27&lt;&gt;"",H27&lt;G27), AND(I27&lt;&gt;"",I27&lt;H27), AND(J27&lt;&gt;"",J27&lt;I27), AND(K27&lt;&gt;"",K27&lt;J27), AND(L27&lt;&gt;"",L27&lt;K27), AND(M27&lt;&gt;"",M27&lt;L27), AND(N27&lt;&gt;"",N27&lt;M27), AND(O27&lt;&gt;"",O27&lt;N27), AND(P27&lt;&gt;"",P27&lt;O27)), "Review", "Hold")</f>
        <v/>
      </c>
    </row>
    <row r="28">
      <c r="A28" s="5" t="inlineStr">
        <is>
          <t>JIOFIN.NS</t>
        </is>
      </c>
      <c r="B28" s="5" t="inlineStr">
        <is>
          <t>Jio Financial Services Ltd.</t>
        </is>
      </c>
      <c r="C28" s="6" t="n">
        <v>244</v>
      </c>
      <c r="D28" s="6" t="n">
        <v>243.9100036621094</v>
      </c>
      <c r="E28" s="6" t="n">
        <v>246.5700073242188</v>
      </c>
      <c r="F28" s="6" t="n">
        <v>245.3500061035156</v>
      </c>
      <c r="G28" s="6" t="n">
        <v>245.5500030517578</v>
      </c>
      <c r="H28" s="6" t="n">
        <v>245.8399963378906</v>
      </c>
      <c r="I28" s="6" t="n">
        <v>245.6000061035156</v>
      </c>
      <c r="J28" s="6" t="n">
        <v>245.3699951171875</v>
      </c>
      <c r="K28" s="6" t="n">
        <v>244.7899932861328</v>
      </c>
      <c r="L28" s="6" t="n">
        <v>245.9400024414062</v>
      </c>
      <c r="M28" s="6" t="n">
        <v>246.1399993896484</v>
      </c>
      <c r="N28" s="6" t="n">
        <v>243.8300018310547</v>
      </c>
      <c r="O28" s="6" t="n">
        <v>244.8699951171875</v>
      </c>
      <c r="P28" s="6" t="n">
        <v>244.8999938964844</v>
      </c>
      <c r="Q28" s="7">
        <f>IF(OR(AND(D28&lt;&gt;"",D28&lt;C28), AND(E28&lt;&gt;"",E28&lt;D28), AND(F28&lt;&gt;"",F28&lt;E28), AND(G28&lt;&gt;"",G28&lt;F28), AND(H28&lt;&gt;"",H28&lt;G28), AND(I28&lt;&gt;"",I28&lt;H28), AND(J28&lt;&gt;"",J28&lt;I28), AND(K28&lt;&gt;"",K28&lt;J28), AND(L28&lt;&gt;"",L28&lt;K28), AND(M28&lt;&gt;"",M28&lt;L28), AND(N28&lt;&gt;"",N28&lt;M28), AND(O28&lt;&gt;"",O28&lt;N28), AND(P28&lt;&gt;"",P28&lt;O28)), "Review", "Hold")</f>
        <v/>
      </c>
    </row>
    <row r="29">
      <c r="A29" s="8" t="inlineStr">
        <is>
          <t>KOTAKBANK.NS</t>
        </is>
      </c>
      <c r="B29" s="8" t="inlineStr">
        <is>
          <t>Kotak Mahindra Bank Ltd.</t>
        </is>
      </c>
      <c r="C29" s="9" t="n">
        <v>402.8999938964844</v>
      </c>
      <c r="D29" s="9" t="n">
        <v>400.4500122070312</v>
      </c>
      <c r="E29" s="9" t="n">
        <v>400.8500061035156</v>
      </c>
      <c r="F29" s="9" t="n">
        <v>400.3500061035156</v>
      </c>
      <c r="G29" s="9" t="n">
        <v>399.9500122070312</v>
      </c>
      <c r="H29" s="9" t="n">
        <v>400.5499877929688</v>
      </c>
      <c r="I29" s="9" t="n">
        <v>400.0499877929688</v>
      </c>
      <c r="J29" s="9" t="n">
        <v>399.3500061035156</v>
      </c>
      <c r="K29" s="9" t="n">
        <v>399.1499938964844</v>
      </c>
      <c r="L29" s="9" t="n">
        <v>399.7999877929688</v>
      </c>
      <c r="M29" s="9" t="n">
        <v>400.7000122070312</v>
      </c>
      <c r="N29" s="9" t="n">
        <v>400</v>
      </c>
      <c r="O29" s="9" t="n">
        <v>398.7000122070312</v>
      </c>
      <c r="P29" s="9" t="n">
        <v>398.8500061035156</v>
      </c>
      <c r="Q29" s="10">
        <f>IF(OR(AND(D29&lt;&gt;"",D29&lt;C29), AND(E29&lt;&gt;"",E29&lt;D29), AND(F29&lt;&gt;"",F29&lt;E29), AND(G29&lt;&gt;"",G29&lt;F29), AND(H29&lt;&gt;"",H29&lt;G29), AND(I29&lt;&gt;"",I29&lt;H29), AND(J29&lt;&gt;"",J29&lt;I29), AND(K29&lt;&gt;"",K29&lt;J29), AND(L29&lt;&gt;"",L29&lt;K29), AND(M29&lt;&gt;"",M29&lt;L29), AND(N29&lt;&gt;"",N29&lt;M29), AND(O29&lt;&gt;"",O29&lt;N29), AND(P29&lt;&gt;"",P29&lt;O29)), "Review", "Hold")</f>
        <v/>
      </c>
    </row>
    <row r="30">
      <c r="A30" s="5" t="inlineStr">
        <is>
          <t>LT.NS</t>
        </is>
      </c>
      <c r="B30" s="5" t="inlineStr">
        <is>
          <t>Larsen &amp; Toubro Ltd.</t>
        </is>
      </c>
      <c r="C30" s="6" t="n">
        <v>4193.7998046875</v>
      </c>
      <c r="D30" s="6" t="n">
        <v>4186</v>
      </c>
      <c r="E30" s="6" t="n">
        <v>4177.89990234375</v>
      </c>
      <c r="F30" s="6" t="n">
        <v>4168</v>
      </c>
      <c r="G30" s="6" t="n">
        <v>4178.60009765625</v>
      </c>
      <c r="H30" s="6" t="n">
        <v>4182</v>
      </c>
      <c r="I30" s="6" t="n">
        <v>4207.2998046875</v>
      </c>
      <c r="J30" s="6" t="n">
        <v>4201.7998046875</v>
      </c>
      <c r="K30" s="6" t="n">
        <v>4195.5</v>
      </c>
      <c r="L30" s="6" t="n">
        <v>4202</v>
      </c>
      <c r="M30" s="6" t="n">
        <v>4200.5</v>
      </c>
      <c r="N30" s="6" t="n">
        <v>4199</v>
      </c>
      <c r="O30" s="6" t="n">
        <v>4208.60009765625</v>
      </c>
      <c r="P30" s="6" t="n">
        <v>4210</v>
      </c>
      <c r="Q30" s="7">
        <f>IF(OR(AND(D30&lt;&gt;"",D30&lt;C30), AND(E30&lt;&gt;"",E30&lt;D30), AND(F30&lt;&gt;"",F30&lt;E30), AND(G30&lt;&gt;"",G30&lt;F30), AND(H30&lt;&gt;"",H30&lt;G30), AND(I30&lt;&gt;"",I30&lt;H30), AND(J30&lt;&gt;"",J30&lt;I30), AND(K30&lt;&gt;"",K30&lt;J30), AND(L30&lt;&gt;"",L30&lt;K30), AND(M30&lt;&gt;"",M30&lt;L30), AND(N30&lt;&gt;"",N30&lt;M30), AND(O30&lt;&gt;"",O30&lt;N30), AND(P30&lt;&gt;"",P30&lt;O30)), "Review", "Hold")</f>
        <v/>
      </c>
    </row>
    <row r="31">
      <c r="A31" s="8" t="inlineStr">
        <is>
          <t>M&amp;M.NS</t>
        </is>
      </c>
      <c r="B31" s="8" t="inlineStr">
        <is>
          <t>Mahindra &amp; Mahindra Ltd.</t>
        </is>
      </c>
      <c r="C31" s="9" t="n">
        <v>3114</v>
      </c>
      <c r="D31" s="9" t="n">
        <v>3120.5</v>
      </c>
      <c r="E31" s="9" t="n">
        <v>3114.800048828125</v>
      </c>
      <c r="F31" s="9" t="n">
        <v>3098</v>
      </c>
      <c r="G31" s="9" t="n">
        <v>3090.60009765625</v>
      </c>
      <c r="H31" s="9" t="n">
        <v>3087.300048828125</v>
      </c>
      <c r="I31" s="9" t="n">
        <v>3087.60009765625</v>
      </c>
      <c r="J31" s="9" t="n">
        <v>3082.10009765625</v>
      </c>
      <c r="K31" s="9" t="n">
        <v>3069.300048828125</v>
      </c>
      <c r="L31" s="9" t="n">
        <v>3069.89990234375</v>
      </c>
      <c r="M31" s="9" t="n">
        <v>3086.10009765625</v>
      </c>
      <c r="N31" s="9" t="n">
        <v>3086.800048828125</v>
      </c>
      <c r="O31" s="9" t="n">
        <v>3075.800048828125</v>
      </c>
      <c r="P31" s="9" t="n">
        <v>3079.699951171875</v>
      </c>
      <c r="Q31" s="10">
        <f>IF(OR(AND(D31&lt;&gt;"",D31&lt;C31), AND(E31&lt;&gt;"",E31&lt;D31), AND(F31&lt;&gt;"",F31&lt;E31), AND(G31&lt;&gt;"",G31&lt;F31), AND(H31&lt;&gt;"",H31&lt;G31), AND(I31&lt;&gt;"",I31&lt;H31), AND(J31&lt;&gt;"",J31&lt;I31), AND(K31&lt;&gt;"",K31&lt;J31), AND(L31&lt;&gt;"",L31&lt;K31), AND(M31&lt;&gt;"",M31&lt;L31), AND(N31&lt;&gt;"",N31&lt;M31), AND(O31&lt;&gt;"",O31&lt;N31), AND(P31&lt;&gt;"",P31&lt;O31)), "Review", "Hold")</f>
        <v/>
      </c>
    </row>
    <row r="32">
      <c r="A32" s="5" t="inlineStr">
        <is>
          <t>MARUTI.NS</t>
        </is>
      </c>
      <c r="B32" s="5" t="inlineStr">
        <is>
          <t>Maruti Suzuki India Ltd.</t>
        </is>
      </c>
      <c r="C32" s="6" t="n">
        <v>13481</v>
      </c>
      <c r="D32" s="6" t="n">
        <v>13425</v>
      </c>
      <c r="E32" s="6" t="n">
        <v>13442</v>
      </c>
      <c r="F32" s="6" t="n">
        <v>13435</v>
      </c>
      <c r="G32" s="6" t="n">
        <v>13415</v>
      </c>
      <c r="H32" s="6" t="n">
        <v>13412</v>
      </c>
      <c r="I32" s="6" t="n">
        <v>13421</v>
      </c>
      <c r="J32" s="6" t="n">
        <v>13431</v>
      </c>
      <c r="K32" s="6" t="n">
        <v>13396</v>
      </c>
      <c r="L32" s="6" t="n">
        <v>13421</v>
      </c>
      <c r="M32" s="6" t="n">
        <v>13432</v>
      </c>
      <c r="N32" s="6" t="n">
        <v>13431</v>
      </c>
      <c r="O32" s="6" t="n">
        <v>13393</v>
      </c>
      <c r="P32" s="6" t="n">
        <v>13434</v>
      </c>
      <c r="Q32" s="7">
        <f>IF(OR(AND(D32&lt;&gt;"",D32&lt;C32), AND(E32&lt;&gt;"",E32&lt;D32), AND(F32&lt;&gt;"",F32&lt;E32), AND(G32&lt;&gt;"",G32&lt;F32), AND(H32&lt;&gt;"",H32&lt;G32), AND(I32&lt;&gt;"",I32&lt;H32), AND(J32&lt;&gt;"",J32&lt;I32), AND(K32&lt;&gt;"",K32&lt;J32), AND(L32&lt;&gt;"",L32&lt;K32), AND(M32&lt;&gt;"",M32&lt;L32), AND(N32&lt;&gt;"",N32&lt;M32), AND(O32&lt;&gt;"",O32&lt;N32), AND(P32&lt;&gt;"",P32&lt;O32)), "Review", "Hold")</f>
        <v/>
      </c>
    </row>
    <row r="33">
      <c r="A33" s="8" t="inlineStr">
        <is>
          <t>MAXHEALTH.NS</t>
        </is>
      </c>
      <c r="B33" s="8" t="inlineStr">
        <is>
          <t>Max Healthcare Institute Ltd.</t>
        </is>
      </c>
      <c r="C33" s="9" t="n">
        <v>1083.800048828125</v>
      </c>
      <c r="D33" s="9" t="n">
        <v>1085.25</v>
      </c>
      <c r="E33" s="9" t="n">
        <v>1090</v>
      </c>
      <c r="F33" s="9" t="n">
        <v>1086.900024414062</v>
      </c>
      <c r="G33" s="9" t="n">
        <v>1088.099975585938</v>
      </c>
      <c r="H33" s="9" t="n">
        <v>1087</v>
      </c>
      <c r="I33" s="9" t="n">
        <v>1087.5</v>
      </c>
      <c r="J33" s="9" t="n">
        <v>1088</v>
      </c>
      <c r="K33" s="9" t="n">
        <v>1087.300048828125</v>
      </c>
      <c r="L33" s="9" t="n">
        <v>1088.550048828125</v>
      </c>
      <c r="M33" s="9" t="n">
        <v>1090.599975585938</v>
      </c>
      <c r="N33" s="9" t="n">
        <v>1079.699951171875</v>
      </c>
      <c r="O33" s="9" t="n">
        <v>1095.550048828125</v>
      </c>
      <c r="P33" s="9" t="n">
        <v>1096</v>
      </c>
      <c r="Q33" s="10">
        <f>IF(OR(AND(D33&lt;&gt;"",D33&lt;C33), AND(E33&lt;&gt;"",E33&lt;D33), AND(F33&lt;&gt;"",F33&lt;E33), AND(G33&lt;&gt;"",G33&lt;F33), AND(H33&lt;&gt;"",H33&lt;G33), AND(I33&lt;&gt;"",I33&lt;H33), AND(J33&lt;&gt;"",J33&lt;I33), AND(K33&lt;&gt;"",K33&lt;J33), AND(L33&lt;&gt;"",L33&lt;K33), AND(M33&lt;&gt;"",M33&lt;L33), AND(N33&lt;&gt;"",N33&lt;M33), AND(O33&lt;&gt;"",O33&lt;N33), AND(P33&lt;&gt;"",P33&lt;O33)), "Review", "Hold")</f>
        <v/>
      </c>
    </row>
    <row r="34">
      <c r="A34" s="5" t="inlineStr">
        <is>
          <t>NTPC.NS</t>
        </is>
      </c>
      <c r="B34" s="5" t="inlineStr">
        <is>
          <t>NTPC Ltd.</t>
        </is>
      </c>
      <c r="C34" s="6" t="n">
        <v>361.25</v>
      </c>
      <c r="D34" s="6" t="n">
        <v>365.8999938964844</v>
      </c>
      <c r="E34" s="6" t="n">
        <v>366.7999877929688</v>
      </c>
      <c r="F34" s="6" t="n">
        <v>366</v>
      </c>
      <c r="G34" s="6" t="n">
        <v>366.7999877929688</v>
      </c>
      <c r="H34" s="6" t="n">
        <v>365.8500061035156</v>
      </c>
      <c r="I34" s="6" t="n">
        <v>365.7999877929688</v>
      </c>
      <c r="J34" s="6" t="n">
        <v>365.5</v>
      </c>
      <c r="K34" s="6" t="n">
        <v>365.6499938964844</v>
      </c>
      <c r="L34" s="6" t="n">
        <v>365.5</v>
      </c>
      <c r="M34" s="6" t="n">
        <v>365.7999877929688</v>
      </c>
      <c r="N34" s="6" t="n">
        <v>365.25</v>
      </c>
      <c r="O34" s="6" t="n">
        <v>365.75</v>
      </c>
      <c r="P34" s="6" t="n">
        <v>365.6499938964844</v>
      </c>
      <c r="Q34" s="7">
        <f>IF(OR(AND(D34&lt;&gt;"",D34&lt;C34), AND(E34&lt;&gt;"",E34&lt;D34), AND(F34&lt;&gt;"",F34&lt;E34), AND(G34&lt;&gt;"",G34&lt;F34), AND(H34&lt;&gt;"",H34&lt;G34), AND(I34&lt;&gt;"",I34&lt;H34), AND(J34&lt;&gt;"",J34&lt;I34), AND(K34&lt;&gt;"",K34&lt;J34), AND(L34&lt;&gt;"",L34&lt;K34), AND(M34&lt;&gt;"",M34&lt;L34), AND(N34&lt;&gt;"",N34&lt;M34), AND(O34&lt;&gt;"",O34&lt;N34), AND(P34&lt;&gt;"",P34&lt;O34)), "Review", "Hold")</f>
        <v/>
      </c>
    </row>
    <row r="35">
      <c r="A35" s="8" t="inlineStr">
        <is>
          <t>NESTLEIND.NS</t>
        </is>
      </c>
      <c r="B35" s="8" t="inlineStr">
        <is>
          <t>Nestle India Ltd.</t>
        </is>
      </c>
      <c r="C35" s="9" t="n">
        <v>1399.199951171875</v>
      </c>
      <c r="D35" s="9" t="n">
        <v>1401.800048828125</v>
      </c>
      <c r="E35" s="9" t="n">
        <v>1406</v>
      </c>
      <c r="F35" s="9" t="n">
        <v>1405.400024414062</v>
      </c>
      <c r="G35" s="9" t="n">
        <v>1404.400024414062</v>
      </c>
      <c r="H35" s="9" t="n">
        <v>1406.099975585938</v>
      </c>
      <c r="I35" s="9" t="n">
        <v>1407.699951171875</v>
      </c>
      <c r="J35" s="9" t="n">
        <v>1400.800048828125</v>
      </c>
      <c r="K35" s="9" t="n">
        <v>1403.699951171875</v>
      </c>
      <c r="L35" s="9" t="n">
        <v>1400.699951171875</v>
      </c>
      <c r="M35" s="9" t="n">
        <v>1407.900024414062</v>
      </c>
      <c r="N35" s="9" t="n">
        <v>1408.300048828125</v>
      </c>
      <c r="O35" s="9" t="n">
        <v>1417.900024414062</v>
      </c>
      <c r="P35" s="9" t="n">
        <v>1417.5</v>
      </c>
      <c r="Q35" s="10">
        <f>IF(OR(AND(D35&lt;&gt;"",D35&lt;C35), AND(E35&lt;&gt;"",E35&lt;D35), AND(F35&lt;&gt;"",F35&lt;E35), AND(G35&lt;&gt;"",G35&lt;F35), AND(H35&lt;&gt;"",H35&lt;G35), AND(I35&lt;&gt;"",I35&lt;H35), AND(J35&lt;&gt;"",J35&lt;I35), AND(K35&lt;&gt;"",K35&lt;J35), AND(L35&lt;&gt;"",L35&lt;K35), AND(M35&lt;&gt;"",M35&lt;L35), AND(N35&lt;&gt;"",N35&lt;M35), AND(O35&lt;&gt;"",O35&lt;N35), AND(P35&lt;&gt;"",P35&lt;O35)), "Review", "Hold")</f>
        <v/>
      </c>
    </row>
    <row r="36">
      <c r="A36" s="5" t="inlineStr">
        <is>
          <t>ONGC.NS</t>
        </is>
      </c>
      <c r="B36" s="5" t="inlineStr">
        <is>
          <t>Oil &amp; Natural Gas Corporation Ltd.</t>
        </is>
      </c>
      <c r="C36" s="6" t="n">
        <v>244.4499969482422</v>
      </c>
      <c r="D36" s="6" t="n">
        <v>244.5</v>
      </c>
      <c r="E36" s="6" t="n">
        <v>244.5500030517578</v>
      </c>
      <c r="F36" s="6" t="n">
        <v>244.3500061035156</v>
      </c>
      <c r="G36" s="6" t="n">
        <v>244.3500061035156</v>
      </c>
      <c r="H36" s="6" t="n">
        <v>244.5</v>
      </c>
      <c r="I36" s="6" t="n">
        <v>244.1999969482422</v>
      </c>
      <c r="J36" s="6" t="n">
        <v>243.6000061035156</v>
      </c>
      <c r="K36" s="6" t="n">
        <v>243.6000061035156</v>
      </c>
      <c r="L36" s="6" t="n">
        <v>243.8000030517578</v>
      </c>
      <c r="M36" s="6" t="n">
        <v>245.25</v>
      </c>
      <c r="N36" s="6" t="n">
        <v>245.3500061035156</v>
      </c>
      <c r="O36" s="6" t="n">
        <v>246.1499938964844</v>
      </c>
      <c r="P36" s="6" t="n">
        <v>246.4499969482422</v>
      </c>
      <c r="Q36" s="7">
        <f>IF(OR(AND(D36&lt;&gt;"",D36&lt;C36), AND(E36&lt;&gt;"",E36&lt;D36), AND(F36&lt;&gt;"",F36&lt;E36), AND(G36&lt;&gt;"",G36&lt;F36), AND(H36&lt;&gt;"",H36&lt;G36), AND(I36&lt;&gt;"",I36&lt;H36), AND(J36&lt;&gt;"",J36&lt;I36), AND(K36&lt;&gt;"",K36&lt;J36), AND(L36&lt;&gt;"",L36&lt;K36), AND(M36&lt;&gt;"",M36&lt;L36), AND(N36&lt;&gt;"",N36&lt;M36), AND(O36&lt;&gt;"",O36&lt;N36), AND(P36&lt;&gt;"",P36&lt;O36)), "Review", "Hold")</f>
        <v/>
      </c>
    </row>
    <row r="37">
      <c r="A37" s="8" t="inlineStr">
        <is>
          <t>POWERGRID.NS</t>
        </is>
      </c>
      <c r="B37" s="8" t="inlineStr">
        <is>
          <t>Power Grid Corporation of India Ltd.</t>
        </is>
      </c>
      <c r="C37" s="9" t="n">
        <v>289</v>
      </c>
      <c r="D37" s="9" t="n">
        <v>289.5499877929688</v>
      </c>
      <c r="E37" s="9" t="n">
        <v>289.6000061035156</v>
      </c>
      <c r="F37" s="9" t="n">
        <v>289.5499877929688</v>
      </c>
      <c r="G37" s="9" t="n">
        <v>289.7999877929688</v>
      </c>
      <c r="H37" s="9" t="n">
        <v>289</v>
      </c>
      <c r="I37" s="9" t="n">
        <v>290.5499877929688</v>
      </c>
      <c r="J37" s="9" t="n">
        <v>291.2000122070312</v>
      </c>
      <c r="K37" s="9" t="n">
        <v>291</v>
      </c>
      <c r="L37" s="9" t="n">
        <v>291.7999877929688</v>
      </c>
      <c r="M37" s="9" t="n">
        <v>291.9500122070312</v>
      </c>
      <c r="N37" s="9" t="n">
        <v>291.75</v>
      </c>
      <c r="O37" s="9" t="n">
        <v>292.2999877929688</v>
      </c>
      <c r="P37" s="9" t="n">
        <v>292.7999877929688</v>
      </c>
      <c r="Q37" s="10">
        <f>IF(OR(AND(D37&lt;&gt;"",D37&lt;C37), AND(E37&lt;&gt;"",E37&lt;D37), AND(F37&lt;&gt;"",F37&lt;E37), AND(G37&lt;&gt;"",G37&lt;F37), AND(H37&lt;&gt;"",H37&lt;G37), AND(I37&lt;&gt;"",I37&lt;H37), AND(J37&lt;&gt;"",J37&lt;I37), AND(K37&lt;&gt;"",K37&lt;J37), AND(L37&lt;&gt;"",L37&lt;K37), AND(M37&lt;&gt;"",M37&lt;L37), AND(N37&lt;&gt;"",N37&lt;M37), AND(O37&lt;&gt;"",O37&lt;N37), AND(P37&lt;&gt;"",P37&lt;O37)), "Review", "Hold")</f>
        <v/>
      </c>
    </row>
    <row r="38">
      <c r="A38" s="5" t="inlineStr">
        <is>
          <t>RELIANCE.NS</t>
        </is>
      </c>
      <c r="B38" s="5" t="inlineStr">
        <is>
          <t>Reliance Industries Ltd.</t>
        </is>
      </c>
      <c r="C38" s="6" t="n">
        <v>1328.900024414062</v>
      </c>
      <c r="D38" s="6" t="n">
        <v>1334</v>
      </c>
      <c r="E38" s="6" t="n">
        <v>1338.099975585938</v>
      </c>
      <c r="F38" s="6" t="n">
        <v>1329.699951171875</v>
      </c>
      <c r="G38" s="6" t="n">
        <v>1325.699951171875</v>
      </c>
      <c r="H38" s="6" t="n">
        <v>1326.400024414062</v>
      </c>
      <c r="I38" s="6" t="n">
        <v>1326.400024414062</v>
      </c>
      <c r="J38" s="6" t="n">
        <v>1327.199951171875</v>
      </c>
      <c r="K38" s="6" t="n">
        <v>1325.199951171875</v>
      </c>
      <c r="L38" s="6" t="n">
        <v>1329.5</v>
      </c>
      <c r="M38" s="6" t="n">
        <v>1332.199951171875</v>
      </c>
      <c r="N38" s="6" t="n">
        <v>1316.699951171875</v>
      </c>
      <c r="O38" s="6" t="n">
        <v>1309.900024414062</v>
      </c>
      <c r="P38" s="6" t="n">
        <v>1311.599975585938</v>
      </c>
      <c r="Q38" s="7">
        <f>IF(OR(AND(D38&lt;&gt;"",D38&lt;C38), AND(E38&lt;&gt;"",E38&lt;D38), AND(F38&lt;&gt;"",F38&lt;E38), AND(G38&lt;&gt;"",G38&lt;F38), AND(H38&lt;&gt;"",H38&lt;G38), AND(I38&lt;&gt;"",I38&lt;H38), AND(J38&lt;&gt;"",J38&lt;I38), AND(K38&lt;&gt;"",K38&lt;J38), AND(L38&lt;&gt;"",L38&lt;K38), AND(M38&lt;&gt;"",M38&lt;L38), AND(N38&lt;&gt;"",N38&lt;M38), AND(O38&lt;&gt;"",O38&lt;N38), AND(P38&lt;&gt;"",P38&lt;O38)), "Review", "Hold")</f>
        <v/>
      </c>
    </row>
    <row r="39">
      <c r="A39" s="8" t="inlineStr">
        <is>
          <t>SBILIFE.NS</t>
        </is>
      </c>
      <c r="B39" s="8" t="inlineStr">
        <is>
          <t>SBI Life Insurance Company Ltd.</t>
        </is>
      </c>
      <c r="C39" s="9" t="n">
        <v>1803.900024414062</v>
      </c>
      <c r="D39" s="9" t="n">
        <v>1812.400024414062</v>
      </c>
      <c r="E39" s="9" t="n">
        <v>1813.400024414062</v>
      </c>
      <c r="F39" s="9" t="n">
        <v>1810.599975585938</v>
      </c>
      <c r="G39" s="9" t="n">
        <v>1811.199951171875</v>
      </c>
      <c r="H39" s="9" t="n">
        <v>1810.400024414062</v>
      </c>
      <c r="I39" s="9" t="n">
        <v>1805.599975585938</v>
      </c>
      <c r="J39" s="9" t="n">
        <v>1795.900024414062</v>
      </c>
      <c r="K39" s="9" t="n">
        <v>1793.699951171875</v>
      </c>
      <c r="L39" s="9" t="n">
        <v>1789.800048828125</v>
      </c>
      <c r="M39" s="9" t="n">
        <v>1799.800048828125</v>
      </c>
      <c r="N39" s="9" t="n">
        <v>1796.199951171875</v>
      </c>
      <c r="O39" s="9" t="n">
        <v>1800.099975585938</v>
      </c>
      <c r="P39" s="9" t="n">
        <v>1804</v>
      </c>
      <c r="Q39" s="10">
        <f>IF(OR(AND(D39&lt;&gt;"",D39&lt;C39), AND(E39&lt;&gt;"",E39&lt;D39), AND(F39&lt;&gt;"",F39&lt;E39), AND(G39&lt;&gt;"",G39&lt;F39), AND(H39&lt;&gt;"",H39&lt;G39), AND(I39&lt;&gt;"",I39&lt;H39), AND(J39&lt;&gt;"",J39&lt;I39), AND(K39&lt;&gt;"",K39&lt;J39), AND(L39&lt;&gt;"",L39&lt;K39), AND(M39&lt;&gt;"",M39&lt;L39), AND(N39&lt;&gt;"",N39&lt;M39), AND(O39&lt;&gt;"",O39&lt;N39), AND(P39&lt;&gt;"",P39&lt;O39)), "Review", "Hold")</f>
        <v/>
      </c>
    </row>
    <row r="40">
      <c r="A40" s="5" t="inlineStr">
        <is>
          <t>SHRIRAMFIN.NS</t>
        </is>
      </c>
      <c r="B40" s="5" t="inlineStr">
        <is>
          <t>Shriram Finance Ltd.</t>
        </is>
      </c>
      <c r="C40" s="6" t="n">
        <v>1001.299987792969</v>
      </c>
      <c r="D40" s="6" t="n">
        <v>1001.349975585938</v>
      </c>
      <c r="E40" s="6" t="n">
        <v>1003.349975585938</v>
      </c>
      <c r="F40" s="6" t="n">
        <v>1004.049987792969</v>
      </c>
      <c r="G40" s="6" t="n">
        <v>1005.799987792969</v>
      </c>
      <c r="H40" s="6" t="n">
        <v>1003.349975585938</v>
      </c>
      <c r="I40" s="6" t="n">
        <v>1003</v>
      </c>
      <c r="J40" s="6" t="n">
        <v>1001.150024414062</v>
      </c>
      <c r="K40" s="6" t="n">
        <v>1003.75</v>
      </c>
      <c r="L40" s="6" t="n">
        <v>1003.650024414062</v>
      </c>
      <c r="M40" s="6" t="n">
        <v>1002.5</v>
      </c>
      <c r="N40" s="6" t="n">
        <v>1002.299987792969</v>
      </c>
      <c r="O40" s="6" t="n">
        <v>1002.650024414062</v>
      </c>
      <c r="P40" s="6" t="n">
        <v>1002.950012207031</v>
      </c>
      <c r="Q40" s="7">
        <f>IF(OR(AND(D40&lt;&gt;"",D40&lt;C40), AND(E40&lt;&gt;"",E40&lt;D40), AND(F40&lt;&gt;"",F40&lt;E40), AND(G40&lt;&gt;"",G40&lt;F40), AND(H40&lt;&gt;"",H40&lt;G40), AND(I40&lt;&gt;"",I40&lt;H40), AND(J40&lt;&gt;"",J40&lt;I40), AND(K40&lt;&gt;"",K40&lt;J40), AND(L40&lt;&gt;"",L40&lt;K40), AND(M40&lt;&gt;"",M40&lt;L40), AND(N40&lt;&gt;"",N40&lt;M40), AND(O40&lt;&gt;"",O40&lt;N40), AND(P40&lt;&gt;"",P40&lt;O40)), "Review", "Hold")</f>
        <v/>
      </c>
    </row>
    <row r="41">
      <c r="A41" s="8" t="inlineStr">
        <is>
          <t>SBIN.NS</t>
        </is>
      </c>
      <c r="B41" s="8" t="inlineStr">
        <is>
          <t>State Bank of India</t>
        </is>
      </c>
      <c r="C41" s="9" t="n">
        <v>1041.150024414062</v>
      </c>
      <c r="D41" s="9" t="n">
        <v>1035.800048828125</v>
      </c>
      <c r="E41" s="9" t="n">
        <v>1035.699951171875</v>
      </c>
      <c r="F41" s="9" t="n">
        <v>1033.599975585938</v>
      </c>
      <c r="G41" s="9" t="n">
        <v>1034.050048828125</v>
      </c>
      <c r="H41" s="9" t="n">
        <v>1033.099975585938</v>
      </c>
      <c r="I41" s="9" t="n">
        <v>1032.900024414062</v>
      </c>
      <c r="J41" s="9" t="n">
        <v>1032.800048828125</v>
      </c>
      <c r="K41" s="9" t="n">
        <v>1032.349975585938</v>
      </c>
      <c r="L41" s="9" t="n">
        <v>1034.5</v>
      </c>
      <c r="M41" s="9" t="n">
        <v>1036.400024414062</v>
      </c>
      <c r="N41" s="9" t="n">
        <v>1035.5</v>
      </c>
      <c r="O41" s="9" t="n">
        <v>1035</v>
      </c>
      <c r="P41" s="9" t="n">
        <v>1035.599975585938</v>
      </c>
      <c r="Q41" s="10">
        <f>IF(OR(AND(D41&lt;&gt;"",D41&lt;C41), AND(E41&lt;&gt;"",E41&lt;D41), AND(F41&lt;&gt;"",F41&lt;E41), AND(G41&lt;&gt;"",G41&lt;F41), AND(H41&lt;&gt;"",H41&lt;G41), AND(I41&lt;&gt;"",I41&lt;H41), AND(J41&lt;&gt;"",J41&lt;I41), AND(K41&lt;&gt;"",K41&lt;J41), AND(L41&lt;&gt;"",L41&lt;K41), AND(M41&lt;&gt;"",M41&lt;L41), AND(N41&lt;&gt;"",N41&lt;M41), AND(O41&lt;&gt;"",O41&lt;N41), AND(P41&lt;&gt;"",P41&lt;O41)), "Review", "Hold")</f>
        <v/>
      </c>
    </row>
    <row r="42">
      <c r="A42" s="5" t="inlineStr">
        <is>
          <t>SUNPHARMA.NS</t>
        </is>
      </c>
      <c r="B42" s="5" t="inlineStr">
        <is>
          <t>Sun Pharmaceutical Industries Ltd.</t>
        </is>
      </c>
      <c r="C42" s="6" t="n">
        <v>1823.400024414062</v>
      </c>
      <c r="D42" s="6" t="n">
        <v>1831.199951171875</v>
      </c>
      <c r="E42" s="6" t="n">
        <v>1836.099975585938</v>
      </c>
      <c r="F42" s="6" t="n">
        <v>1830.800048828125</v>
      </c>
      <c r="G42" s="6" t="n">
        <v>1826.599975585938</v>
      </c>
      <c r="H42" s="6" t="n">
        <v>1832.699951171875</v>
      </c>
      <c r="I42" s="6" t="n">
        <v>1833.5</v>
      </c>
      <c r="J42" s="6" t="n">
        <v>1835.5</v>
      </c>
      <c r="K42" s="6" t="n">
        <v>1828.699951171875</v>
      </c>
      <c r="L42" s="6" t="n">
        <v>1825.300048828125</v>
      </c>
      <c r="M42" s="6" t="n">
        <v>1830.199951171875</v>
      </c>
      <c r="N42" s="6" t="n">
        <v>1826.900024414062</v>
      </c>
      <c r="O42" s="6" t="n">
        <v>1840.599975585938</v>
      </c>
      <c r="P42" s="6" t="n">
        <v>1841</v>
      </c>
      <c r="Q42" s="7">
        <f>IF(OR(AND(D42&lt;&gt;"",D42&lt;C42), AND(E42&lt;&gt;"",E42&lt;D42), AND(F42&lt;&gt;"",F42&lt;E42), AND(G42&lt;&gt;"",G42&lt;F42), AND(H42&lt;&gt;"",H42&lt;G42), AND(I42&lt;&gt;"",I42&lt;H42), AND(J42&lt;&gt;"",J42&lt;I42), AND(K42&lt;&gt;"",K42&lt;J42), AND(L42&lt;&gt;"",L42&lt;K42), AND(M42&lt;&gt;"",M42&lt;L42), AND(N42&lt;&gt;"",N42&lt;M42), AND(O42&lt;&gt;"",O42&lt;N42), AND(P42&lt;&gt;"",P42&lt;O42)), "Review", "Hold")</f>
        <v/>
      </c>
    </row>
    <row r="43">
      <c r="A43" s="8" t="inlineStr">
        <is>
          <t>TCS.NS</t>
        </is>
      </c>
      <c r="B43" s="8" t="inlineStr">
        <is>
          <t>Tata Consultancy Services Ltd.</t>
        </is>
      </c>
      <c r="C43" s="9" t="n">
        <v>2111.89990234375</v>
      </c>
      <c r="D43" s="9" t="n">
        <v>2074.5</v>
      </c>
      <c r="E43" s="9" t="n">
        <v>2079.10009765625</v>
      </c>
      <c r="F43" s="9" t="n">
        <v>2073.60009765625</v>
      </c>
      <c r="G43" s="9" t="n">
        <v>2075.800048828125</v>
      </c>
      <c r="H43" s="9" t="n">
        <v>2073.800048828125</v>
      </c>
      <c r="I43" s="9" t="n">
        <v>2082.800048828125</v>
      </c>
      <c r="J43" s="9" t="n">
        <v>2076.89990234375</v>
      </c>
      <c r="K43" s="9" t="n">
        <v>2073</v>
      </c>
      <c r="L43" s="9" t="n">
        <v>2074.60009765625</v>
      </c>
      <c r="M43" s="9" t="n">
        <v>2081.60009765625</v>
      </c>
      <c r="N43" s="9" t="n">
        <v>2101.10009765625</v>
      </c>
      <c r="O43" s="9" t="n">
        <v>2129.699951171875</v>
      </c>
      <c r="P43" s="9" t="n">
        <v>2136.300048828125</v>
      </c>
      <c r="Q43" s="10">
        <f>IF(OR(AND(D43&lt;&gt;"",D43&lt;C43), AND(E43&lt;&gt;"",E43&lt;D43), AND(F43&lt;&gt;"",F43&lt;E43), AND(G43&lt;&gt;"",G43&lt;F43), AND(H43&lt;&gt;"",H43&lt;G43), AND(I43&lt;&gt;"",I43&lt;H43), AND(J43&lt;&gt;"",J43&lt;I43), AND(K43&lt;&gt;"",K43&lt;J43), AND(L43&lt;&gt;"",L43&lt;K43), AND(M43&lt;&gt;"",M43&lt;L43), AND(N43&lt;&gt;"",N43&lt;M43), AND(O43&lt;&gt;"",O43&lt;N43), AND(P43&lt;&gt;"",P43&lt;O43)), "Review", "Hold")</f>
        <v/>
      </c>
    </row>
    <row r="44">
      <c r="A44" s="5" t="inlineStr">
        <is>
          <t>TATACONSUM.NS</t>
        </is>
      </c>
      <c r="B44" s="5" t="inlineStr">
        <is>
          <t>Tata Consumer Products Ltd.</t>
        </is>
      </c>
      <c r="C44" s="6" t="n">
        <v>1107.199951171875</v>
      </c>
      <c r="D44" s="6" t="n">
        <v>1109.5</v>
      </c>
      <c r="E44" s="6" t="n">
        <v>1111.400024414062</v>
      </c>
      <c r="F44" s="6" t="n">
        <v>1112</v>
      </c>
      <c r="G44" s="6" t="n">
        <v>1113.800048828125</v>
      </c>
      <c r="H44" s="6" t="n">
        <v>1115.199951171875</v>
      </c>
      <c r="I44" s="6" t="n">
        <v>1113.400024414062</v>
      </c>
      <c r="J44" s="6" t="n">
        <v>1110.5</v>
      </c>
      <c r="K44" s="6" t="n">
        <v>1108.300048828125</v>
      </c>
      <c r="L44" s="6" t="n">
        <v>1107.599975585938</v>
      </c>
      <c r="M44" s="6" t="n">
        <v>1110.199951171875</v>
      </c>
      <c r="N44" s="6" t="n">
        <v>1108.699951171875</v>
      </c>
      <c r="O44" s="6" t="n">
        <v>1112.900024414062</v>
      </c>
      <c r="P44" s="6" t="n">
        <v>1113</v>
      </c>
      <c r="Q44" s="7">
        <f>IF(OR(AND(D44&lt;&gt;"",D44&lt;C44), AND(E44&lt;&gt;"",E44&lt;D44), AND(F44&lt;&gt;"",F44&lt;E44), AND(G44&lt;&gt;"",G44&lt;F44), AND(H44&lt;&gt;"",H44&lt;G44), AND(I44&lt;&gt;"",I44&lt;H44), AND(J44&lt;&gt;"",J44&lt;I44), AND(K44&lt;&gt;"",K44&lt;J44), AND(L44&lt;&gt;"",L44&lt;K44), AND(M44&lt;&gt;"",M44&lt;L44), AND(N44&lt;&gt;"",N44&lt;M44), AND(O44&lt;&gt;"",O44&lt;N44), AND(P44&lt;&gt;"",P44&lt;O44)), "Review", "Hold")</f>
        <v/>
      </c>
    </row>
    <row r="45">
      <c r="A45" s="8" t="inlineStr">
        <is>
          <t>TMPV.NS</t>
        </is>
      </c>
      <c r="B45" s="8" t="inlineStr">
        <is>
          <t>Tata Motors Passenger Vehicles Ltd.</t>
        </is>
      </c>
      <c r="C45" s="9" t="n">
        <v>362.8999938964844</v>
      </c>
      <c r="D45" s="9" t="n">
        <v>358.9500122070312</v>
      </c>
      <c r="E45" s="9" t="n">
        <v>358.1499938964844</v>
      </c>
      <c r="F45" s="9" t="n">
        <v>357.6499938964844</v>
      </c>
      <c r="G45" s="9" t="n">
        <v>357.25</v>
      </c>
      <c r="H45" s="9" t="n">
        <v>358</v>
      </c>
      <c r="I45" s="9" t="n">
        <v>358.2999877929688</v>
      </c>
      <c r="J45" s="9" t="n">
        <v>357.6499938964844</v>
      </c>
      <c r="K45" s="9" t="n">
        <v>359.4500122070312</v>
      </c>
      <c r="L45" s="9" t="n">
        <v>359.5499877929688</v>
      </c>
      <c r="M45" s="9" t="n">
        <v>359.8500061035156</v>
      </c>
      <c r="N45" s="9" t="n">
        <v>360</v>
      </c>
      <c r="O45" s="9" t="n">
        <v>359.8999938964844</v>
      </c>
      <c r="P45" s="9" t="n">
        <v>359.3999938964844</v>
      </c>
      <c r="Q45" s="10">
        <f>IF(OR(AND(D45&lt;&gt;"",D45&lt;C45), AND(E45&lt;&gt;"",E45&lt;D45), AND(F45&lt;&gt;"",F45&lt;E45), AND(G45&lt;&gt;"",G45&lt;F45), AND(H45&lt;&gt;"",H45&lt;G45), AND(I45&lt;&gt;"",I45&lt;H45), AND(J45&lt;&gt;"",J45&lt;I45), AND(K45&lt;&gt;"",K45&lt;J45), AND(L45&lt;&gt;"",L45&lt;K45), AND(M45&lt;&gt;"",M45&lt;L45), AND(N45&lt;&gt;"",N45&lt;M45), AND(O45&lt;&gt;"",O45&lt;N45), AND(P45&lt;&gt;"",P45&lt;O45)), "Review", "Hold")</f>
        <v/>
      </c>
    </row>
    <row r="46">
      <c r="A46" s="5" t="inlineStr">
        <is>
          <t>TATASTEEL.NS</t>
        </is>
      </c>
      <c r="B46" s="5" t="inlineStr">
        <is>
          <t>Tata Steel Ltd.</t>
        </is>
      </c>
      <c r="C46" s="6" t="n">
        <v>199.25</v>
      </c>
      <c r="D46" s="6" t="n">
        <v>198.6499938964844</v>
      </c>
      <c r="E46" s="6" t="n">
        <v>197.8500061035156</v>
      </c>
      <c r="F46" s="6" t="n">
        <v>197.8999938964844</v>
      </c>
      <c r="G46" s="6" t="n">
        <v>197.6600036621094</v>
      </c>
      <c r="H46" s="6" t="n">
        <v>197.2100067138672</v>
      </c>
      <c r="I46" s="6" t="n">
        <v>197.3200073242188</v>
      </c>
      <c r="J46" s="6" t="n">
        <v>197.6799926757812</v>
      </c>
      <c r="K46" s="6" t="n">
        <v>197.8399963378906</v>
      </c>
      <c r="L46" s="6" t="n">
        <v>198.3800048828125</v>
      </c>
      <c r="M46" s="6" t="n">
        <v>198.3600006103516</v>
      </c>
      <c r="N46" s="6" t="n">
        <v>198.8000030517578</v>
      </c>
      <c r="O46" s="6" t="n">
        <v>199.1300048828125</v>
      </c>
      <c r="P46" s="6" t="n">
        <v>199.1799926757812</v>
      </c>
      <c r="Q46" s="7">
        <f>IF(OR(AND(D46&lt;&gt;"",D46&lt;C46), AND(E46&lt;&gt;"",E46&lt;D46), AND(F46&lt;&gt;"",F46&lt;E46), AND(G46&lt;&gt;"",G46&lt;F46), AND(H46&lt;&gt;"",H46&lt;G46), AND(I46&lt;&gt;"",I46&lt;H46), AND(J46&lt;&gt;"",J46&lt;I46), AND(K46&lt;&gt;"",K46&lt;J46), AND(L46&lt;&gt;"",L46&lt;K46), AND(M46&lt;&gt;"",M46&lt;L46), AND(N46&lt;&gt;"",N46&lt;M46), AND(O46&lt;&gt;"",O46&lt;N46), AND(P46&lt;&gt;"",P46&lt;O46)), "Review", "Hold")</f>
        <v/>
      </c>
    </row>
    <row r="47">
      <c r="A47" s="8" t="inlineStr">
        <is>
          <t>TECHM.NS</t>
        </is>
      </c>
      <c r="B47" s="8" t="inlineStr">
        <is>
          <t>Tech Mahindra Ltd.</t>
        </is>
      </c>
      <c r="C47" s="9" t="n">
        <v>1355.099975585938</v>
      </c>
      <c r="D47" s="9" t="n">
        <v>1375.099975585938</v>
      </c>
      <c r="E47" s="9" t="n">
        <v>1383.800048828125</v>
      </c>
      <c r="F47" s="9" t="n">
        <v>1386.099975585938</v>
      </c>
      <c r="G47" s="9" t="n">
        <v>1376.900024414062</v>
      </c>
      <c r="H47" s="9" t="n">
        <v>1381.599975585938</v>
      </c>
      <c r="I47" s="9" t="n">
        <v>1378.800048828125</v>
      </c>
      <c r="J47" s="9" t="n">
        <v>1378.800048828125</v>
      </c>
      <c r="K47" s="9" t="n">
        <v>1382.5</v>
      </c>
      <c r="L47" s="9" t="n">
        <v>1384</v>
      </c>
      <c r="M47" s="9" t="n">
        <v>1386.400024414062</v>
      </c>
      <c r="N47" s="9" t="n">
        <v>1393</v>
      </c>
      <c r="O47" s="9" t="n">
        <v>1409.599975585938</v>
      </c>
      <c r="P47" s="9" t="n">
        <v>1413.599975585938</v>
      </c>
      <c r="Q47" s="10">
        <f>IF(OR(AND(D47&lt;&gt;"",D47&lt;C47), AND(E47&lt;&gt;"",E47&lt;D47), AND(F47&lt;&gt;"",F47&lt;E47), AND(G47&lt;&gt;"",G47&lt;F47), AND(H47&lt;&gt;"",H47&lt;G47), AND(I47&lt;&gt;"",I47&lt;H47), AND(J47&lt;&gt;"",J47&lt;I47), AND(K47&lt;&gt;"",K47&lt;J47), AND(L47&lt;&gt;"",L47&lt;K47), AND(M47&lt;&gt;"",M47&lt;L47), AND(N47&lt;&gt;"",N47&lt;M47), AND(O47&lt;&gt;"",O47&lt;N47), AND(P47&lt;&gt;"",P47&lt;O47)), "Review", "Hold")</f>
        <v/>
      </c>
    </row>
    <row r="48">
      <c r="A48" s="5" t="inlineStr">
        <is>
          <t>TITAN.NS</t>
        </is>
      </c>
      <c r="B48" s="5" t="inlineStr">
        <is>
          <t>Titan Company Ltd.</t>
        </is>
      </c>
      <c r="C48" s="6" t="n">
        <v>4360</v>
      </c>
      <c r="D48" s="6" t="n">
        <v>4407.89990234375</v>
      </c>
      <c r="E48" s="6" t="n">
        <v>4406</v>
      </c>
      <c r="F48" s="6" t="n">
        <v>4402.89990234375</v>
      </c>
      <c r="G48" s="6" t="n">
        <v>4414.39990234375</v>
      </c>
      <c r="H48" s="6" t="n">
        <v>4404.10009765625</v>
      </c>
      <c r="I48" s="6" t="n">
        <v>4408.60009765625</v>
      </c>
      <c r="J48" s="6" t="n">
        <v>4406.2998046875</v>
      </c>
      <c r="K48" s="6" t="n">
        <v>4404</v>
      </c>
      <c r="L48" s="6" t="n">
        <v>4404.10009765625</v>
      </c>
      <c r="M48" s="6" t="n">
        <v>4409.89990234375</v>
      </c>
      <c r="N48" s="6" t="n">
        <v>4378</v>
      </c>
      <c r="O48" s="6" t="n">
        <v>4433.60009765625</v>
      </c>
      <c r="P48" s="6" t="n">
        <v>4415</v>
      </c>
      <c r="Q48" s="7">
        <f>IF(OR(AND(D48&lt;&gt;"",D48&lt;C48), AND(E48&lt;&gt;"",E48&lt;D48), AND(F48&lt;&gt;"",F48&lt;E48), AND(G48&lt;&gt;"",G48&lt;F48), AND(H48&lt;&gt;"",H48&lt;G48), AND(I48&lt;&gt;"",I48&lt;H48), AND(J48&lt;&gt;"",J48&lt;I48), AND(K48&lt;&gt;"",K48&lt;J48), AND(L48&lt;&gt;"",L48&lt;K48), AND(M48&lt;&gt;"",M48&lt;L48), AND(N48&lt;&gt;"",N48&lt;M48), AND(O48&lt;&gt;"",O48&lt;N48), AND(P48&lt;&gt;"",P48&lt;O48)), "Review", "Hold")</f>
        <v/>
      </c>
    </row>
    <row r="49">
      <c r="A49" s="8" t="inlineStr">
        <is>
          <t>TRENT.NS</t>
        </is>
      </c>
      <c r="B49" s="8" t="inlineStr">
        <is>
          <t>Trent Ltd.</t>
        </is>
      </c>
      <c r="C49" s="9" t="n">
        <v>3179.5</v>
      </c>
      <c r="D49" s="9" t="n">
        <v>3193</v>
      </c>
      <c r="E49" s="9" t="n">
        <v>3176.39990234375</v>
      </c>
      <c r="F49" s="9" t="n">
        <v>3174</v>
      </c>
      <c r="G49" s="9" t="n">
        <v>3150.89990234375</v>
      </c>
      <c r="H49" s="9" t="n">
        <v>3151.699951171875</v>
      </c>
      <c r="I49" s="9" t="n">
        <v>3157.199951171875</v>
      </c>
      <c r="J49" s="9" t="n">
        <v>3145.199951171875</v>
      </c>
      <c r="K49" s="9" t="n">
        <v>3151.800048828125</v>
      </c>
      <c r="L49" s="9" t="n">
        <v>3152.699951171875</v>
      </c>
      <c r="M49" s="9" t="n">
        <v>3166</v>
      </c>
      <c r="N49" s="9" t="n">
        <v>3177.39990234375</v>
      </c>
      <c r="O49" s="9" t="n">
        <v>3210.5</v>
      </c>
      <c r="P49" s="9" t="n">
        <v>3203.5</v>
      </c>
      <c r="Q49" s="10">
        <f>IF(OR(AND(D49&lt;&gt;"",D49&lt;C49), AND(E49&lt;&gt;"",E49&lt;D49), AND(F49&lt;&gt;"",F49&lt;E49), AND(G49&lt;&gt;"",G49&lt;F49), AND(H49&lt;&gt;"",H49&lt;G49), AND(I49&lt;&gt;"",I49&lt;H49), AND(J49&lt;&gt;"",J49&lt;I49), AND(K49&lt;&gt;"",K49&lt;J49), AND(L49&lt;&gt;"",L49&lt;K49), AND(M49&lt;&gt;"",M49&lt;L49), AND(N49&lt;&gt;"",N49&lt;M49), AND(O49&lt;&gt;"",O49&lt;N49), AND(P49&lt;&gt;"",P49&lt;O49)), "Review", "Hold")</f>
        <v/>
      </c>
    </row>
    <row r="50">
      <c r="A50" s="5" t="inlineStr">
        <is>
          <t>ULTRACEMCO.NS</t>
        </is>
      </c>
      <c r="B50" s="5" t="inlineStr">
        <is>
          <t>UltraTech Cement Ltd.</t>
        </is>
      </c>
      <c r="C50" s="6" t="n">
        <v>11374</v>
      </c>
      <c r="D50" s="6" t="n">
        <v>11436</v>
      </c>
      <c r="E50" s="6" t="n">
        <v>11457</v>
      </c>
      <c r="F50" s="6" t="n">
        <v>11452</v>
      </c>
      <c r="G50" s="6" t="n">
        <v>11423</v>
      </c>
      <c r="H50" s="6" t="n">
        <v>11411</v>
      </c>
      <c r="I50" s="6" t="n">
        <v>11407</v>
      </c>
      <c r="J50" s="6" t="n">
        <v>11375</v>
      </c>
      <c r="K50" s="6" t="n">
        <v>11329</v>
      </c>
      <c r="L50" s="6" t="n">
        <v>11340</v>
      </c>
      <c r="M50" s="6" t="n">
        <v>11364</v>
      </c>
      <c r="N50" s="6" t="n">
        <v>11352</v>
      </c>
      <c r="O50" s="6" t="n">
        <v>11373</v>
      </c>
      <c r="P50" s="6" t="n">
        <v>11386</v>
      </c>
      <c r="Q50" s="7">
        <f>IF(OR(AND(D50&lt;&gt;"",D50&lt;C50), AND(E50&lt;&gt;"",E50&lt;D50), AND(F50&lt;&gt;"",F50&lt;E50), AND(G50&lt;&gt;"",G50&lt;F50), AND(H50&lt;&gt;"",H50&lt;G50), AND(I50&lt;&gt;"",I50&lt;H50), AND(J50&lt;&gt;"",J50&lt;I50), AND(K50&lt;&gt;"",K50&lt;J50), AND(L50&lt;&gt;"",L50&lt;K50), AND(M50&lt;&gt;"",M50&lt;L50), AND(N50&lt;&gt;"",N50&lt;M50), AND(O50&lt;&gt;"",O50&lt;N50), AND(P50&lt;&gt;"",P50&lt;O50)), "Review", "Hold")</f>
        <v/>
      </c>
    </row>
    <row r="51">
      <c r="A51" s="8" t="inlineStr">
        <is>
          <t>WIPRO.NS</t>
        </is>
      </c>
      <c r="B51" s="8" t="inlineStr">
        <is>
          <t>Wipro Ltd.</t>
        </is>
      </c>
      <c r="C51" s="9" t="n">
        <v>176.6199951171875</v>
      </c>
      <c r="D51" s="9" t="n">
        <v>176.5599975585938</v>
      </c>
      <c r="E51" s="9" t="n">
        <v>176.6000061035156</v>
      </c>
      <c r="F51" s="9" t="n">
        <v>176.9299926757812</v>
      </c>
      <c r="G51" s="9" t="n">
        <v>177.1000061035156</v>
      </c>
      <c r="H51" s="9" t="n">
        <v>177.8000030517578</v>
      </c>
      <c r="I51" s="9" t="n">
        <v>177.7400054931641</v>
      </c>
      <c r="J51" s="9" t="n">
        <v>177.5700073242188</v>
      </c>
      <c r="K51" s="9" t="n">
        <v>177.9100036621094</v>
      </c>
      <c r="L51" s="9" t="n">
        <v>178.0599975585938</v>
      </c>
      <c r="M51" s="9" t="n">
        <v>178.9400024414062</v>
      </c>
      <c r="N51" s="9" t="n">
        <v>179.1100006103516</v>
      </c>
      <c r="O51" s="9" t="n">
        <v>181</v>
      </c>
      <c r="P51" s="9" t="n">
        <v>180.0500030517578</v>
      </c>
      <c r="Q51" s="10">
        <f>IF(OR(AND(D51&lt;&gt;"",D51&lt;C51), AND(E51&lt;&gt;"",E51&lt;D51), AND(F51&lt;&gt;"",F51&lt;E51), AND(G51&lt;&gt;"",G51&lt;F51), AND(H51&lt;&gt;"",H51&lt;G51), AND(I51&lt;&gt;"",I51&lt;H51), AND(J51&lt;&gt;"",J51&lt;I51), AND(K51&lt;&gt;"",K51&lt;J51), AND(L51&lt;&gt;"",L51&lt;K51), AND(M51&lt;&gt;"",M51&lt;L51), AND(N51&lt;&gt;"",N51&lt;M51), AND(O51&lt;&gt;"",O51&lt;N51), AND(P51&lt;&gt;"",P51&lt;O51)), "Review", "Hold")</f>
        <v/>
      </c>
    </row>
    <row r="54">
      <c r="A54" s="11" t="inlineStr">
        <is>
          <t>DAILY VERDICT SUMMARY</t>
        </is>
      </c>
      <c r="B54" s="20" t="n"/>
      <c r="C54" s="20" t="n"/>
      <c r="D54" s="21" t="n"/>
    </row>
    <row r="55">
      <c r="A55" s="13" t="inlineStr">
        <is>
          <t>Hold Signals</t>
        </is>
      </c>
      <c r="B55" s="14">
        <f>COUNTIF(Q2:Q51, "Hold")</f>
        <v/>
      </c>
      <c r="C55" s="15" t="n"/>
      <c r="D55" s="15" t="n"/>
    </row>
    <row r="56">
      <c r="A56" s="16" t="inlineStr">
        <is>
          <t>Review Signals</t>
        </is>
      </c>
      <c r="B56" s="17">
        <f>COUNTIF(Q2:Q51, "Review")</f>
        <v/>
      </c>
      <c r="C56" s="15" t="n"/>
      <c r="D56" s="15" t="n"/>
    </row>
    <row r="57">
      <c r="A57" s="18" t="inlineStr">
        <is>
          <t>Total Checked</t>
        </is>
      </c>
      <c r="B57" s="19">
        <f>COUNTA(A2:A51)</f>
        <v/>
      </c>
      <c r="C57" s="15" t="n"/>
      <c r="D57" s="15" t="n"/>
    </row>
  </sheetData>
  <mergeCells count="1">
    <mergeCell ref="A54:D54"/>
  </mergeCells>
  <conditionalFormatting sqref="Q2:Q51">
    <cfRule type="cellIs" priority="1" operator="equal" dxfId="0">
      <formula>"Hold"</formula>
    </cfRule>
    <cfRule type="cellIs" priority="2" operator="equal" dxfId="1">
      <formula>"Review"</formula>
    </cfRule>
  </conditionalFormatting>
  <conditionalFormatting sqref="D2:P51">
    <cfRule type="expression" priority="3" dxfId="0">
      <formula>=D2&gt;C2</formula>
    </cfRule>
    <cfRule type="expression" priority="4" dxfId="1">
      <formula>=AND(D2&lt;&gt;"",D2&lt;C2)</formula>
    </cfRule>
    <cfRule type="expression" priority="5" dxfId="2">
      <formula>=AND(D2&lt;&gt;"",D2=C2)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2026-06-19T09:58:25Z</dcterms:created>
  <dcterms:modified xmlns:dcterms="http://purl.org/dc/terms/" xmlns:xsi="http://www.w3.org/2001/XMLSchema-instance" xsi:type="dcterms:W3CDTF">2026-06-19T10:07:51Z</dcterms:modified>
</cp:coreProperties>
</file>